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showInkAnnotation="0" autoCompressPictures="0"/>
  <mc:AlternateContent xmlns:mc="http://schemas.openxmlformats.org/markup-compatibility/2006">
    <mc:Choice Requires="x15">
      <x15ac:absPath xmlns:x15ac="http://schemas.microsoft.com/office/spreadsheetml/2010/11/ac" url="G:\Statystyka opisowa\projekt\"/>
    </mc:Choice>
  </mc:AlternateContent>
  <xr:revisionPtr revIDLastSave="0" documentId="13_ncr:1_{562DA9AD-8549-4383-ADFB-8CB33E5453CE}" xr6:coauthVersionLast="36" xr6:coauthVersionMax="47" xr10:uidLastSave="{00000000-0000-0000-0000-000000000000}"/>
  <bookViews>
    <workbookView xWindow="-105" yWindow="-105" windowWidth="23250" windowHeight="12450" tabRatio="500" firstSheet="1" activeTab="3" xr2:uid="{00000000-000D-0000-FFFF-FFFF00000000}"/>
  </bookViews>
  <sheets>
    <sheet name="Dane do korelacji" sheetId="5" r:id="rId1"/>
    <sheet name="Obliczenia" sheetId="3" r:id="rId2"/>
    <sheet name="Surowe dane" sheetId="1" r:id="rId3"/>
    <sheet name="Długość albumów" sheetId="2" r:id="rId4"/>
    <sheet name="Analogi vs kompakty" sheetId="4" r:id="rId5"/>
  </sheets>
  <definedNames>
    <definedName name="_xlnm.Print_Area" localSheetId="3">'Długość albumów'!$A$1:$AB$44</definedName>
  </definedNames>
  <calcPr calcId="179021"/>
</workbook>
</file>

<file path=xl/calcChain.xml><?xml version="1.0" encoding="utf-8"?>
<calcChain xmlns="http://schemas.openxmlformats.org/spreadsheetml/2006/main">
  <c r="L3" i="1" l="1"/>
  <c r="W9" i="2" s="1"/>
  <c r="S7" i="2" s="1"/>
  <c r="S17" i="2"/>
  <c r="S15" i="2"/>
  <c r="S14" i="2"/>
  <c r="S13" i="2"/>
  <c r="V6" i="2"/>
  <c r="V7" i="2"/>
  <c r="V8" i="2"/>
  <c r="V9" i="2"/>
  <c r="V5" i="2"/>
  <c r="W8" i="2"/>
  <c r="W7" i="2"/>
  <c r="W6" i="2"/>
  <c r="W5" i="2"/>
  <c r="V40" i="4"/>
  <c r="U40" i="4"/>
  <c r="V33" i="4"/>
  <c r="V34" i="4"/>
  <c r="V35" i="4"/>
  <c r="V36" i="4"/>
  <c r="V37" i="4"/>
  <c r="V38" i="4"/>
  <c r="V39" i="4"/>
  <c r="V32" i="4"/>
  <c r="U33" i="4"/>
  <c r="U34" i="4"/>
  <c r="U35" i="4"/>
  <c r="U36" i="4"/>
  <c r="U37" i="4"/>
  <c r="U38" i="4"/>
  <c r="U39" i="4"/>
  <c r="U32" i="4"/>
  <c r="V31" i="4"/>
  <c r="B54" i="5"/>
  <c r="B56" i="5"/>
  <c r="B57" i="5"/>
  <c r="B58" i="5"/>
  <c r="B59" i="5"/>
  <c r="B55" i="5"/>
  <c r="M35" i="4"/>
  <c r="L36" i="4"/>
  <c r="L35" i="4"/>
  <c r="Q40" i="2"/>
  <c r="I2" i="3"/>
  <c r="I3" i="3"/>
  <c r="H2" i="3"/>
  <c r="H4" i="3"/>
  <c r="H5" i="3"/>
  <c r="H6" i="3"/>
  <c r="H7" i="3"/>
  <c r="I7" i="3" s="1"/>
  <c r="H8" i="3"/>
  <c r="I8" i="3" s="1"/>
  <c r="H3" i="3"/>
  <c r="E15" i="3"/>
  <c r="E2" i="3"/>
  <c r="Q41" i="2"/>
  <c r="Q38" i="2"/>
  <c r="I4" i="3"/>
  <c r="I5" i="3"/>
  <c r="I6" i="3"/>
  <c r="K2" i="3"/>
  <c r="K3" i="3"/>
  <c r="K4" i="3"/>
  <c r="K5" i="3"/>
  <c r="K6" i="3"/>
  <c r="K7" i="3"/>
  <c r="K8" i="3"/>
  <c r="Q25" i="2"/>
  <c r="Q24" i="2"/>
  <c r="Q23" i="2"/>
  <c r="Q26" i="2"/>
  <c r="D2" i="3"/>
  <c r="S63" i="4" a="1"/>
  <c r="S63" i="4" s="1"/>
  <c r="R63" i="4" a="1"/>
  <c r="R63" i="4" s="1"/>
  <c r="S62" i="4" a="1"/>
  <c r="S62" i="4" s="1"/>
  <c r="R62" i="4" a="1"/>
  <c r="R62" i="4" s="1"/>
  <c r="B2" i="4"/>
  <c r="O3" i="3"/>
  <c r="O4" i="3"/>
  <c r="O5" i="3"/>
  <c r="O6" i="3"/>
  <c r="O7" i="3"/>
  <c r="O8" i="3"/>
  <c r="O9" i="3"/>
  <c r="O10" i="3"/>
  <c r="O11" i="3"/>
  <c r="O12" i="3"/>
  <c r="O13" i="3"/>
  <c r="O14" i="3"/>
  <c r="O15" i="3"/>
  <c r="O16" i="3"/>
  <c r="O17" i="3"/>
  <c r="O18" i="3"/>
  <c r="O2" i="3"/>
  <c r="N3" i="3"/>
  <c r="N4" i="3"/>
  <c r="N5" i="3"/>
  <c r="N6" i="3"/>
  <c r="N7" i="3"/>
  <c r="N8" i="3"/>
  <c r="N9" i="3"/>
  <c r="N10" i="3"/>
  <c r="N11" i="3"/>
  <c r="N12" i="3"/>
  <c r="N13" i="3"/>
  <c r="N14" i="3"/>
  <c r="N15" i="3"/>
  <c r="N16" i="3"/>
  <c r="N17" i="3"/>
  <c r="N18" i="3"/>
  <c r="N2" i="3"/>
  <c r="M17" i="3"/>
  <c r="M18" i="3"/>
  <c r="M3" i="3"/>
  <c r="M4" i="3"/>
  <c r="M5" i="3"/>
  <c r="M6" i="3"/>
  <c r="M7" i="3"/>
  <c r="M8" i="3"/>
  <c r="M9" i="3"/>
  <c r="M10" i="3"/>
  <c r="M11" i="3"/>
  <c r="M12" i="3"/>
  <c r="M13" i="3"/>
  <c r="M14" i="3"/>
  <c r="M15" i="3"/>
  <c r="M16" i="3"/>
  <c r="M2" i="3"/>
  <c r="C3" i="4"/>
  <c r="C4" i="4"/>
  <c r="W8" i="4" s="1"/>
  <c r="C5" i="4"/>
  <c r="C6" i="4"/>
  <c r="C7" i="4"/>
  <c r="AB11" i="4" s="1"/>
  <c r="C8" i="4"/>
  <c r="C9" i="4"/>
  <c r="C10" i="4"/>
  <c r="X14" i="4" s="1"/>
  <c r="C11" i="4"/>
  <c r="W15" i="4" s="1"/>
  <c r="C12" i="4"/>
  <c r="C13" i="4"/>
  <c r="C14" i="4"/>
  <c r="C15" i="4"/>
  <c r="AB19" i="4" s="1"/>
  <c r="C16" i="4"/>
  <c r="C17" i="4"/>
  <c r="C18" i="4"/>
  <c r="AB22" i="4" s="1"/>
  <c r="C2" i="4"/>
  <c r="W6" i="4" s="1"/>
  <c r="B3" i="4"/>
  <c r="B4" i="4"/>
  <c r="B5" i="4"/>
  <c r="B6" i="4"/>
  <c r="B7" i="4"/>
  <c r="B8" i="4"/>
  <c r="B9" i="4"/>
  <c r="B10" i="4"/>
  <c r="B11" i="4"/>
  <c r="B12" i="4"/>
  <c r="B13" i="4"/>
  <c r="B14" i="4"/>
  <c r="B15" i="4"/>
  <c r="B16" i="4"/>
  <c r="B17" i="4"/>
  <c r="B18" i="4"/>
  <c r="M36" i="4" s="1"/>
  <c r="A3" i="4"/>
  <c r="V7" i="4" s="1"/>
  <c r="A4" i="4"/>
  <c r="V8" i="4" s="1"/>
  <c r="A5" i="4"/>
  <c r="V9" i="4" s="1"/>
  <c r="A6" i="4"/>
  <c r="V10" i="4" s="1"/>
  <c r="A7" i="4"/>
  <c r="V11" i="4" s="1"/>
  <c r="A8" i="4"/>
  <c r="V12" i="4" s="1"/>
  <c r="A9" i="4"/>
  <c r="V13" i="4" s="1"/>
  <c r="A10" i="4"/>
  <c r="V14" i="4" s="1"/>
  <c r="A11" i="4"/>
  <c r="V15" i="4" s="1"/>
  <c r="A12" i="4"/>
  <c r="V16" i="4" s="1"/>
  <c r="A13" i="4"/>
  <c r="V17" i="4" s="1"/>
  <c r="A14" i="4"/>
  <c r="V18" i="4" s="1"/>
  <c r="A15" i="4"/>
  <c r="V19" i="4" s="1"/>
  <c r="A16" i="4"/>
  <c r="V20" i="4" s="1"/>
  <c r="A17" i="4"/>
  <c r="V21" i="4" s="1"/>
  <c r="A18" i="4"/>
  <c r="V22" i="4" s="1"/>
  <c r="A2" i="4"/>
  <c r="V6" i="4" s="1"/>
  <c r="AB20" i="4" l="1"/>
  <c r="K36" i="4"/>
  <c r="AB9" i="4"/>
  <c r="AA8" i="4"/>
  <c r="AB17" i="4"/>
  <c r="X17" i="4"/>
  <c r="X9" i="4"/>
  <c r="X16" i="4"/>
  <c r="AA7" i="4"/>
  <c r="X13" i="4"/>
  <c r="O20" i="3"/>
  <c r="Q5" i="3" s="1"/>
  <c r="W7" i="4"/>
  <c r="AA6" i="4"/>
  <c r="W12" i="4"/>
  <c r="Y8" i="4"/>
  <c r="AB8" i="4"/>
  <c r="X8" i="4"/>
  <c r="Z7" i="4"/>
  <c r="AA15" i="4"/>
  <c r="AB7" i="4"/>
  <c r="AB18" i="4"/>
  <c r="AB10" i="4"/>
  <c r="Y6" i="4"/>
  <c r="Z17" i="4"/>
  <c r="AA9" i="4"/>
  <c r="Y16" i="4"/>
  <c r="Z8" i="4"/>
  <c r="W21" i="4"/>
  <c r="X7" i="4"/>
  <c r="Y9" i="4"/>
  <c r="AA17" i="4"/>
  <c r="Y7" i="4"/>
  <c r="Z16" i="4"/>
  <c r="Y15" i="4"/>
  <c r="AB16" i="4"/>
  <c r="AA16" i="4"/>
  <c r="Y17" i="4"/>
  <c r="Z9" i="4"/>
  <c r="X15" i="4"/>
  <c r="G10" i="4"/>
  <c r="G11" i="4" s="1"/>
  <c r="G15" i="4" s="1"/>
  <c r="W22" i="4"/>
  <c r="Z15" i="4"/>
  <c r="W20" i="4"/>
  <c r="X21" i="4"/>
  <c r="Y22" i="4"/>
  <c r="Y14" i="4"/>
  <c r="Z14" i="4"/>
  <c r="AA22" i="4"/>
  <c r="AA14" i="4"/>
  <c r="AB14" i="4"/>
  <c r="W19" i="4"/>
  <c r="W11" i="4"/>
  <c r="X20" i="4"/>
  <c r="X12" i="4"/>
  <c r="Y21" i="4"/>
  <c r="Y13" i="4"/>
  <c r="Z21" i="4"/>
  <c r="Z13" i="4"/>
  <c r="AA21" i="4"/>
  <c r="AA13" i="4"/>
  <c r="AB21" i="4"/>
  <c r="AB13" i="4"/>
  <c r="AB15" i="4"/>
  <c r="W18" i="4"/>
  <c r="W10" i="4"/>
  <c r="X19" i="4"/>
  <c r="X11" i="4"/>
  <c r="Y20" i="4"/>
  <c r="Y12" i="4"/>
  <c r="Z20" i="4"/>
  <c r="Z12" i="4"/>
  <c r="AA20" i="4"/>
  <c r="AA12" i="4"/>
  <c r="AB12" i="4"/>
  <c r="W14" i="4"/>
  <c r="W13" i="4"/>
  <c r="X22" i="4"/>
  <c r="Z22" i="4"/>
  <c r="W17" i="4"/>
  <c r="W9" i="4"/>
  <c r="X18" i="4"/>
  <c r="X10" i="4"/>
  <c r="Y19" i="4"/>
  <c r="Y11" i="4"/>
  <c r="Z19" i="4"/>
  <c r="Z11" i="4"/>
  <c r="AA19" i="4"/>
  <c r="AA11" i="4"/>
  <c r="W16" i="4"/>
  <c r="Y18" i="4"/>
  <c r="Y10" i="4"/>
  <c r="Z18" i="4"/>
  <c r="Z10" i="4"/>
  <c r="AA18" i="4"/>
  <c r="AA10" i="4"/>
  <c r="V62" i="4" a="1"/>
  <c r="N20" i="3"/>
  <c r="P6" i="3" s="1"/>
  <c r="S6" i="3" s="1"/>
  <c r="O19" i="3"/>
  <c r="O23" i="3"/>
  <c r="N19" i="3"/>
  <c r="N23" i="3"/>
  <c r="H102" i="1"/>
  <c r="X24" i="4" l="1"/>
  <c r="L37" i="4" s="1"/>
  <c r="Q12" i="3"/>
  <c r="Q2" i="3"/>
  <c r="Q11" i="3"/>
  <c r="Q4" i="3"/>
  <c r="Q14" i="3"/>
  <c r="Q7" i="3"/>
  <c r="Q13" i="3"/>
  <c r="Q16" i="3"/>
  <c r="Q17" i="3"/>
  <c r="Q8" i="3"/>
  <c r="Q3" i="3"/>
  <c r="Q6" i="3"/>
  <c r="Q9" i="3"/>
  <c r="Q15" i="3"/>
  <c r="Q10" i="3"/>
  <c r="Q18" i="3"/>
  <c r="P2" i="3"/>
  <c r="S2" i="3" s="1"/>
  <c r="P14" i="3"/>
  <c r="P8" i="3"/>
  <c r="R6" i="3"/>
  <c r="P16" i="3"/>
  <c r="S16" i="3" s="1"/>
  <c r="P10" i="3"/>
  <c r="S10" i="3" s="1"/>
  <c r="P12" i="3"/>
  <c r="S12" i="3" s="1"/>
  <c r="P5" i="3"/>
  <c r="R5" i="3" s="1"/>
  <c r="P7" i="3"/>
  <c r="S7" i="3" s="1"/>
  <c r="P13" i="3"/>
  <c r="P18" i="3"/>
  <c r="P15" i="3"/>
  <c r="S15" i="3" s="1"/>
  <c r="P17" i="3"/>
  <c r="S17" i="3" s="1"/>
  <c r="P3" i="3"/>
  <c r="S3" i="3" s="1"/>
  <c r="P9" i="3"/>
  <c r="R9" i="3" s="1"/>
  <c r="P11" i="3"/>
  <c r="S11" i="3" s="1"/>
  <c r="G14" i="4"/>
  <c r="P4" i="3"/>
  <c r="V62" i="4"/>
  <c r="V63" i="4"/>
  <c r="W62" i="4"/>
  <c r="W63" i="4"/>
  <c r="S8" i="3"/>
  <c r="V13" i="2"/>
  <c r="V11" i="2"/>
  <c r="V15" i="2"/>
  <c r="W11" i="2"/>
  <c r="V12" i="2"/>
  <c r="V14" i="2"/>
  <c r="A8" i="3"/>
  <c r="C30" i="2"/>
  <c r="B8" i="3" s="1"/>
  <c r="D8" i="3" s="1"/>
  <c r="C28" i="2"/>
  <c r="B6" i="3" s="1"/>
  <c r="D6" i="3" s="1"/>
  <c r="C29" i="2"/>
  <c r="B7" i="3" s="1"/>
  <c r="D7" i="3" s="1"/>
  <c r="B29" i="2"/>
  <c r="A7" i="3" s="1"/>
  <c r="B28" i="2"/>
  <c r="A6" i="3" s="1"/>
  <c r="L6" i="1"/>
  <c r="B24" i="2"/>
  <c r="A2" i="3" s="1"/>
  <c r="C24" i="2"/>
  <c r="B2" i="3" s="1"/>
  <c r="B25" i="2"/>
  <c r="A3" i="3" s="1"/>
  <c r="C25" i="2"/>
  <c r="B3" i="3" s="1"/>
  <c r="D3" i="3" s="1"/>
  <c r="B26" i="2"/>
  <c r="A4" i="3" s="1"/>
  <c r="C26" i="2"/>
  <c r="B4" i="3" s="1"/>
  <c r="D4" i="3" s="1"/>
  <c r="B27" i="2"/>
  <c r="A5" i="3" s="1"/>
  <c r="C27" i="2"/>
  <c r="B5" i="3" s="1"/>
  <c r="D5" i="3" s="1"/>
  <c r="C23" i="2"/>
  <c r="B1" i="3" s="1"/>
  <c r="B23" i="2"/>
  <c r="A1" i="3" s="1"/>
  <c r="L7" i="1"/>
  <c r="L4" i="1"/>
  <c r="H3" i="1"/>
  <c r="L8" i="1" l="1"/>
  <c r="M37" i="4"/>
  <c r="L38" i="4"/>
  <c r="D9" i="3"/>
  <c r="D11" i="3"/>
  <c r="W12" i="2"/>
  <c r="W15" i="2"/>
  <c r="Q34" i="2"/>
  <c r="W13" i="2"/>
  <c r="R14" i="3"/>
  <c r="R15" i="3"/>
  <c r="R4" i="3"/>
  <c r="R13" i="3"/>
  <c r="R2" i="3"/>
  <c r="S4" i="3"/>
  <c r="R17" i="3"/>
  <c r="S14" i="3"/>
  <c r="R16" i="3"/>
  <c r="R18" i="3"/>
  <c r="R8" i="3"/>
  <c r="S18" i="3"/>
  <c r="S13" i="3"/>
  <c r="R7" i="3"/>
  <c r="R11" i="3"/>
  <c r="AD63" i="4" a="1"/>
  <c r="AD63" i="4" s="1"/>
  <c r="AM63" i="4" a="1"/>
  <c r="AM63" i="4" s="1"/>
  <c r="AL63" i="4" a="1"/>
  <c r="AL63" i="4" s="1"/>
  <c r="Y63" i="4" a="1"/>
  <c r="Y63" i="4" s="1"/>
  <c r="Z63" i="4" a="1"/>
  <c r="Z63" i="4" s="1"/>
  <c r="AI63" i="4" a="1"/>
  <c r="AI63" i="4" s="1"/>
  <c r="AC63" i="4" a="1"/>
  <c r="AC63" i="4" s="1"/>
  <c r="AH63" i="4" a="1"/>
  <c r="AH63" i="4" s="1"/>
  <c r="AE63" i="4" a="1"/>
  <c r="AE63" i="4" s="1"/>
  <c r="AN63" i="4" a="1"/>
  <c r="AN63" i="4" s="1"/>
  <c r="AG63" i="4" a="1"/>
  <c r="AG63" i="4" s="1"/>
  <c r="AA63" i="4" a="1"/>
  <c r="AA63" i="4" s="1"/>
  <c r="AJ63" i="4" a="1"/>
  <c r="AJ63" i="4" s="1"/>
  <c r="AB63" i="4" a="1"/>
  <c r="AB63" i="4" s="1"/>
  <c r="X63" i="4" a="1"/>
  <c r="X63" i="4" s="1"/>
  <c r="AF63" i="4" a="1"/>
  <c r="AF63" i="4" s="1"/>
  <c r="AK63" i="4" a="1"/>
  <c r="AK63" i="4" s="1"/>
  <c r="S5" i="3"/>
  <c r="AG62" i="4" a="1"/>
  <c r="AG62" i="4" s="1"/>
  <c r="AL62" i="4" a="1"/>
  <c r="AL62" i="4" s="1"/>
  <c r="AC62" i="4" a="1"/>
  <c r="AC62" i="4" s="1"/>
  <c r="AH62" i="4" a="1"/>
  <c r="AH62" i="4" s="1"/>
  <c r="X62" i="4" a="1"/>
  <c r="X62" i="4" s="1"/>
  <c r="AD62" i="4" a="1"/>
  <c r="AD62" i="4" s="1"/>
  <c r="AM62" i="4" a="1"/>
  <c r="AM62" i="4" s="1"/>
  <c r="AA62" i="4" a="1"/>
  <c r="AA62" i="4" s="1"/>
  <c r="Y62" i="4" a="1"/>
  <c r="Y62" i="4" s="1"/>
  <c r="AI62" i="4" a="1"/>
  <c r="AI62" i="4" s="1"/>
  <c r="AJ62" i="4" a="1"/>
  <c r="AJ62" i="4" s="1"/>
  <c r="AF62" i="4" a="1"/>
  <c r="AF62" i="4" s="1"/>
  <c r="AB62" i="4" a="1"/>
  <c r="AB62" i="4" s="1"/>
  <c r="Z62" i="4" a="1"/>
  <c r="Z62" i="4" s="1"/>
  <c r="AE62" i="4" a="1"/>
  <c r="AE62" i="4" s="1"/>
  <c r="AN62" i="4" a="1"/>
  <c r="AN62" i="4" s="1"/>
  <c r="AK62" i="4" a="1"/>
  <c r="AK62" i="4" s="1"/>
  <c r="R3" i="3"/>
  <c r="R10" i="3"/>
  <c r="S9" i="3"/>
  <c r="R12" i="3"/>
  <c r="Q22" i="2"/>
  <c r="L39" i="4" l="1"/>
  <c r="M38" i="4"/>
  <c r="W14" i="2"/>
  <c r="R19" i="3"/>
  <c r="R20" i="3" s="1"/>
  <c r="S20" i="3"/>
  <c r="S21" i="3" s="1"/>
  <c r="AO63" i="4" a="1"/>
  <c r="AO63" i="4" s="1"/>
  <c r="H28" i="4" s="1"/>
  <c r="AO62" i="4" a="1"/>
  <c r="AO62" i="4" s="1"/>
  <c r="H27" i="4" s="1"/>
  <c r="G16" i="4" s="1"/>
  <c r="D13" i="3"/>
  <c r="L40" i="4" l="1"/>
  <c r="M39" i="4"/>
  <c r="E4" i="3"/>
  <c r="F2" i="3"/>
  <c r="E5" i="3"/>
  <c r="E6" i="3"/>
  <c r="E3" i="3"/>
  <c r="E7" i="3"/>
  <c r="E8" i="3"/>
  <c r="M40" i="4" l="1"/>
  <c r="G2" i="3"/>
  <c r="F8" i="3"/>
  <c r="F4" i="3"/>
  <c r="F7" i="3"/>
  <c r="F3" i="3"/>
  <c r="G3" i="3" s="1"/>
  <c r="F6" i="3"/>
  <c r="F5" i="3"/>
  <c r="J7" i="3" l="1"/>
  <c r="G7" i="3"/>
  <c r="J3" i="3"/>
  <c r="J5" i="3"/>
  <c r="G5" i="3"/>
  <c r="J8" i="3"/>
  <c r="G8" i="3"/>
  <c r="J4" i="3"/>
  <c r="G4" i="3"/>
  <c r="J6" i="3"/>
  <c r="G6" i="3"/>
  <c r="J2" i="3"/>
  <c r="F9" i="3"/>
  <c r="F10" i="3" s="1"/>
  <c r="F11" i="3" s="1"/>
  <c r="I9" i="3"/>
  <c r="I10" i="3" s="1"/>
  <c r="G9" i="3" l="1"/>
  <c r="G10" i="3" s="1"/>
  <c r="K9" i="3"/>
  <c r="K10" i="3" s="1"/>
  <c r="Q30" i="2" l="1"/>
  <c r="Q31" i="2" s="1"/>
  <c r="Q39" i="2" l="1"/>
  <c r="Q42" i="2"/>
  <c r="Q32" i="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<sst xmlns="http://schemas.openxmlformats.org/spreadsheetml/2006/main" count="272" uniqueCount="250">
  <si>
    <t>#</t>
  </si>
  <si>
    <t>g#</t>
  </si>
  <si>
    <t>Cover</t>
  </si>
  <si>
    <t>Album</t>
  </si>
  <si>
    <t>Streams</t>
  </si>
  <si>
    <t>Daily</t>
  </si>
  <si>
    <t>Mañana Será Bonito Karol G</t>
  </si>
  <si>
    <t>One Thing At A Time Morgan Wallen</t>
  </si>
  <si>
    <t>Génesis Peso Pluma</t>
  </si>
  <si>
    <t>Drive Tiësto</t>
  </si>
  <si>
    <t>Nadie Sabe Lo Que Va A Pasar Mañana Bad Bunny</t>
  </si>
  <si>
    <t>Utopia Travis Scott</t>
  </si>
  <si>
    <t>1989 (Taylor's Version) Taylor Swift</t>
  </si>
  <si>
    <t>Golden Jung Kook</t>
  </si>
  <si>
    <t>Meduza Meduza</t>
  </si>
  <si>
    <t>El Comienzo Grupo Frontera</t>
  </si>
  <si>
    <t>Guts Olivia Rodrigo</t>
  </si>
  <si>
    <t>Another Friday Night Joel Corry</t>
  </si>
  <si>
    <t>Barbie The Album Various Artists</t>
  </si>
  <si>
    <t>Endless Summer Vacation Miley Cyrus</t>
  </si>
  <si>
    <t>For All The Dogs Drake</t>
  </si>
  <si>
    <t>Donde Quiero Estar Quevedo</t>
  </si>
  <si>
    <t>Petals To Thorns D4vd</t>
  </si>
  <si>
    <t>2000 Manuel Turizo</t>
  </si>
  <si>
    <t>Speak Now (Taylor's Version) Taylor Swift</t>
  </si>
  <si>
    <t>Cupido Tini</t>
  </si>
  <si>
    <t>Pa Las Baby's Y Belikeada Fuerza Regida</t>
  </si>
  <si>
    <t>Mañana Será Bonito (Bichota Season) Karol G</t>
  </si>
  <si>
    <t>Face Jimin</t>
  </si>
  <si>
    <t>Scarlet Doja Cat</t>
  </si>
  <si>
    <t>Data Tainy</t>
  </si>
  <si>
    <t>Think Later Tate McRae</t>
  </si>
  <si>
    <t>Nata Montana Natanael Cano</t>
  </si>
  <si>
    <t>Gloria Sam Smith</t>
  </si>
  <si>
    <t>Rush! Måneskin</t>
  </si>
  <si>
    <t>Ferxxocalipsis Feid</t>
  </si>
  <si>
    <t>Don Juan Maluma</t>
  </si>
  <si>
    <t>Feed The Beast Kim Petras</t>
  </si>
  <si>
    <t>Bebe Bebe Rexha</t>
  </si>
  <si>
    <t>Zach Bryan Zach Bryan</t>
  </si>
  <si>
    <t>All Stand Together Lost Frequencies</t>
  </si>
  <si>
    <t>Desvelado Eslabon Armado</t>
  </si>
  <si>
    <t>Layover V</t>
  </si>
  <si>
    <t>Unforgiven Le Sserafim</t>
  </si>
  <si>
    <t>Pink Friday 2 Nicki Minaj</t>
  </si>
  <si>
    <t>Spider-Man: Across The Spider-Verse Metro Boomin</t>
  </si>
  <si>
    <t>Get Up NewJeans</t>
  </si>
  <si>
    <t>Don't Stop The Magic Grupo Marca Registrada</t>
  </si>
  <si>
    <t>Pink Tape Lil Uzi Vert</t>
  </si>
  <si>
    <t>Colmillo De Leche Carín León</t>
  </si>
  <si>
    <t>La Vida Es Una Myke Towers</t>
  </si>
  <si>
    <t>The Beginning Fifty Fifty</t>
  </si>
  <si>
    <t>Austin Post Malone</t>
  </si>
  <si>
    <t>Angel Face Stephen Sanchez</t>
  </si>
  <si>
    <t>Sad Boyz 4 Life II Junior H</t>
  </si>
  <si>
    <t>Gettin' Old Luke Combs</t>
  </si>
  <si>
    <t>Długość albumu</t>
  </si>
  <si>
    <t>Minuty</t>
  </si>
  <si>
    <t>N=</t>
  </si>
  <si>
    <t>k=</t>
  </si>
  <si>
    <t>r=</t>
  </si>
  <si>
    <t>Liczba danych</t>
  </si>
  <si>
    <t>Liczba klas</t>
  </si>
  <si>
    <t>Rozpięość</t>
  </si>
  <si>
    <t>Rozstęp</t>
  </si>
  <si>
    <t>R=</t>
  </si>
  <si>
    <t>Xmax=</t>
  </si>
  <si>
    <t>Xmin=</t>
  </si>
  <si>
    <t>Wartość minimalna</t>
  </si>
  <si>
    <t>Dane potrzebne do stworzenia szeregu rozdzielczego przedziałowego</t>
  </si>
  <si>
    <t>Długość w minutach</t>
  </si>
  <si>
    <t>Ilość</t>
  </si>
  <si>
    <t>Sugar Papi Marshmello</t>
  </si>
  <si>
    <t>Every Cloud - Silver Linings Sigala</t>
  </si>
  <si>
    <t>Religiously. The Album. Bailey Zimmerman</t>
  </si>
  <si>
    <t>Fábula Mahalini</t>
  </si>
  <si>
    <t>Hello This Is The Setlist For My Tour Gayle</t>
  </si>
  <si>
    <t>Red Moon In Venus Kali Uchis</t>
  </si>
  <si>
    <t>The Land Is Inhospitable And So Are We Mitski</t>
  </si>
  <si>
    <t>Unreal Unearth Hozier</t>
  </si>
  <si>
    <t>Phoenix Elley Duhé</t>
  </si>
  <si>
    <t>To Be (Ao Vivo) Henrique &amp; Juliano</t>
  </si>
  <si>
    <t>A Million Ways To Murder Kordhell</t>
  </si>
  <si>
    <t>Did You Know That There's A Tunnel Under Ocean Blvd Lana Del Rey</t>
  </si>
  <si>
    <t>A Gift &amp; A Curse Gunna</t>
  </si>
  <si>
    <t>3men2 Kbrn Eladio Carrion</t>
  </si>
  <si>
    <t>Good Times Go Nicky Youre</t>
  </si>
  <si>
    <t>Six Jewels 23 Yng Lvcas</t>
  </si>
  <si>
    <t>Bluebird Days Jordan Davis</t>
  </si>
  <si>
    <t>Lay Your Hands Upon My Heart Rosa Linn</t>
  </si>
  <si>
    <t>Escolhas (Ao Vivo) Zé Neto &amp; Cristiano</t>
  </si>
  <si>
    <t>My 21st Century Blues Raye</t>
  </si>
  <si>
    <t>Mirror Lauren Spencer Smith</t>
  </si>
  <si>
    <t>Heaven Knows PinkPantheress</t>
  </si>
  <si>
    <t>Like..? Ice Spice</t>
  </si>
  <si>
    <t>Resistencia Yandel</t>
  </si>
  <si>
    <t>Playa Saturno Rauw Alejandro</t>
  </si>
  <si>
    <t>Broken By Desire To Be Heavenly Sent Lewis Capaldi</t>
  </si>
  <si>
    <t>Mor, No Le Temas A La Oscuridad Feid</t>
  </si>
  <si>
    <t>Animal Various Artists</t>
  </si>
  <si>
    <t>I've Tried Everything But Therapy Teddy Swims</t>
  </si>
  <si>
    <t>Split Decision Dave &amp; Central Cee</t>
  </si>
  <si>
    <t>Never Enough Daniel Caesar</t>
  </si>
  <si>
    <t>Cottonwood 2 NLE Choppa</t>
  </si>
  <si>
    <t>Portals Melanie Martinez</t>
  </si>
  <si>
    <t>D-Day Agust D</t>
  </si>
  <si>
    <t>Replica Vaundy</t>
  </si>
  <si>
    <t>Pineapple Sunrise Beach Weather</t>
  </si>
  <si>
    <t>Alchemical: Volume 1 Dove Cameron</t>
  </si>
  <si>
    <t>.mp3 Emilia</t>
  </si>
  <si>
    <t>Estrella Mora</t>
  </si>
  <si>
    <t>Decretos Reais Marília Mendonça</t>
  </si>
  <si>
    <t>Based On A True Story... New West</t>
  </si>
  <si>
    <t>Bewitched Laufey</t>
  </si>
  <si>
    <t>Il Coraggio Dei Bambini Geolier</t>
  </si>
  <si>
    <t>Super Unhealthy Anne-Marie</t>
  </si>
  <si>
    <t>The Book 3 Yoasobi</t>
  </si>
  <si>
    <t>Subtract (-) Ed Sheeran</t>
  </si>
  <si>
    <t>Tec Lil Tecca</t>
  </si>
  <si>
    <t>Lágrimas | Crossover #4 Big One</t>
  </si>
  <si>
    <t>Énfasis Jere Klein</t>
  </si>
  <si>
    <t>Trustfall P!nk</t>
  </si>
  <si>
    <t>[11-22]</t>
  </si>
  <si>
    <t>(22-34]</t>
  </si>
  <si>
    <t>(34-46]</t>
  </si>
  <si>
    <t>(46-58]</t>
  </si>
  <si>
    <t>(58-70]</t>
  </si>
  <si>
    <t>(70-82]</t>
  </si>
  <si>
    <t>(82-94]</t>
  </si>
  <si>
    <t>(94-106]</t>
  </si>
  <si>
    <t>(106-118]</t>
  </si>
  <si>
    <t>(118-129]</t>
  </si>
  <si>
    <t>(82-129]</t>
  </si>
  <si>
    <t>Z obliczonych wcześniej danych możemy stworzyć dany szereg, na podstawie którego można stwożyć następujący histogram</t>
  </si>
  <si>
    <t>Połączę jednak ostatnie 4 klasy w jedną, ponieważ ich wartości w znaczący sposób odbiegają od reszty, dostając w ten sposób następujący szereg, dla którego którego będę analizował dane</t>
  </si>
  <si>
    <t>Miary tendencji środkowej</t>
  </si>
  <si>
    <t>Średnia arytmetyczna</t>
  </si>
  <si>
    <t>x=</t>
  </si>
  <si>
    <t>środek i-tej klasy</t>
  </si>
  <si>
    <t>ni*xi</t>
  </si>
  <si>
    <t>Mediana</t>
  </si>
  <si>
    <t>Me=</t>
  </si>
  <si>
    <t>Lp.</t>
  </si>
  <si>
    <t>Kwartyl 1</t>
  </si>
  <si>
    <t>Q1=</t>
  </si>
  <si>
    <t>Kwartyl 3</t>
  </si>
  <si>
    <t>Q3=</t>
  </si>
  <si>
    <t>Dominanta</t>
  </si>
  <si>
    <t>D=</t>
  </si>
  <si>
    <t>Miary rozproszenia</t>
  </si>
  <si>
    <t>Wariancja</t>
  </si>
  <si>
    <t>s^2=</t>
  </si>
  <si>
    <t>xi-średnia</t>
  </si>
  <si>
    <t>do kwadratu</t>
  </si>
  <si>
    <t>Odchylenie standardowe</t>
  </si>
  <si>
    <t>s=</t>
  </si>
  <si>
    <t>Współczynnik zmienności</t>
  </si>
  <si>
    <t>v=</t>
  </si>
  <si>
    <t>Rozstęp międzykwartylowy</t>
  </si>
  <si>
    <t>IQR=</t>
  </si>
  <si>
    <t>Miary asymetrii i koncentracji</t>
  </si>
  <si>
    <t>1 wsp. Pearson'a</t>
  </si>
  <si>
    <t>2 wsp. Pearson'a</t>
  </si>
  <si>
    <t>AP1=</t>
  </si>
  <si>
    <t>AP2=</t>
  </si>
  <si>
    <t>Klasyczny wsp. Asymetrii</t>
  </si>
  <si>
    <t>A=</t>
  </si>
  <si>
    <t>do sześcianu</t>
  </si>
  <si>
    <t>razy ni</t>
  </si>
  <si>
    <t>Kurtoza</t>
  </si>
  <si>
    <t>K=</t>
  </si>
  <si>
    <t>do 4</t>
  </si>
  <si>
    <t>Wsp. escesu</t>
  </si>
  <si>
    <t>K'=</t>
  </si>
  <si>
    <t>rok</t>
  </si>
  <si>
    <t>Analogowe</t>
  </si>
  <si>
    <t>Kompaktowe</t>
  </si>
  <si>
    <t>8 - Track</t>
  </si>
  <si>
    <t>Cassette</t>
  </si>
  <si>
    <t>Cassette Single</t>
  </si>
  <si>
    <t>LP/EP</t>
  </si>
  <si>
    <t>Other Tapes</t>
  </si>
  <si>
    <t>Vinyl Single</t>
  </si>
  <si>
    <t>CD</t>
  </si>
  <si>
    <t>SACD</t>
  </si>
  <si>
    <t>CD Single</t>
  </si>
  <si>
    <t>DVD Audio</t>
  </si>
  <si>
    <t>Music Video (Physical)</t>
  </si>
  <si>
    <t>Download Album</t>
  </si>
  <si>
    <t>Download Music Video</t>
  </si>
  <si>
    <t>Download Single</t>
  </si>
  <si>
    <t>Ringtones &amp; Ringbacks</t>
  </si>
  <si>
    <t>SoundExchange Distributions</t>
  </si>
  <si>
    <t>Paid Subscription</t>
  </si>
  <si>
    <t>Synchronization</t>
  </si>
  <si>
    <t>Other Digital</t>
  </si>
  <si>
    <t>Other Ad-Supported Streaming</t>
  </si>
  <si>
    <t>On-Demand Streaming (Ad-Supported)</t>
  </si>
  <si>
    <t>Limited Tier Paid Subscription</t>
  </si>
  <si>
    <t>Kiosk</t>
  </si>
  <si>
    <t>Korelacja</t>
  </si>
  <si>
    <t>Kowariancja</t>
  </si>
  <si>
    <t>Cov(X,Y)=</t>
  </si>
  <si>
    <t>średnia</t>
  </si>
  <si>
    <t>suma</t>
  </si>
  <si>
    <t>yi-średnia</t>
  </si>
  <si>
    <t>Pi*Qi</t>
  </si>
  <si>
    <t>odchylenie stand</t>
  </si>
  <si>
    <t>Pi^2</t>
  </si>
  <si>
    <t>Wsp. Korelacji</t>
  </si>
  <si>
    <t>Współczynnik regresji</t>
  </si>
  <si>
    <t>Regresja liniowa</t>
  </si>
  <si>
    <t>b=</t>
  </si>
  <si>
    <t>Współczynnik determinacji</t>
  </si>
  <si>
    <t>R^2=</t>
  </si>
  <si>
    <t>Przyrosty</t>
  </si>
  <si>
    <t>Indeksy</t>
  </si>
  <si>
    <t>Indywidualne</t>
  </si>
  <si>
    <t>Absolutne</t>
  </si>
  <si>
    <t>Względne</t>
  </si>
  <si>
    <t>Jedno podstawowe</t>
  </si>
  <si>
    <t>łańcuchowe</t>
  </si>
  <si>
    <t>Szeregi czasowe (dla nośników kompaktowych)</t>
  </si>
  <si>
    <t>A</t>
  </si>
  <si>
    <t>y</t>
  </si>
  <si>
    <t>X</t>
  </si>
  <si>
    <t>Y</t>
  </si>
  <si>
    <t>a</t>
  </si>
  <si>
    <t>b</t>
  </si>
  <si>
    <t>=</t>
  </si>
  <si>
    <t>a=</t>
  </si>
  <si>
    <t>Możemy równiesz dla naszych danych obliczyć coroczne przyrosty i indeksy. Weźmy sobie na pierwszy plan wartości płyt kompaktowych między rokiem 1983 a 1999</t>
  </si>
  <si>
    <t>Wyznaczmy współczynniki a i b metodą mecierzową</t>
  </si>
  <si>
    <t>y=</t>
  </si>
  <si>
    <t>-2,5x+30565,27</t>
  </si>
  <si>
    <t>Można powiedzieć, że zależność między dwiema cechami jest bardzo duża, praktycznie liniowa. Kierunek zależności jest ujemny, czyli wzrost jednej cechy powoduje spadek drugiej. Co więcej wzrost wartości płyt kompaktowych o 1 powoduje spadek wartości płyt analogowych o 2,5. Dodatkowo aż 96% zmienności wartości płyt kompaktowych zostało wyjaśnionych przez model regresji liniowej</t>
  </si>
  <si>
    <t>Model regresji liniowej</t>
  </si>
  <si>
    <t>Jak widać między rokiem 1983, a 1999 widzimy coroczny wzrost wartośći płyt kompaktowych nwzględem roku poprzedzającego, lub bazowego. Jedynie rok 1997 przyniósł minimalny spadek wartości względem poprzedzającego go roku, wynoszący -153,3 mld, lub -0,76%</t>
  </si>
  <si>
    <t>średni przyrost absolutny łańcuchowy</t>
  </si>
  <si>
    <t>Prognoza</t>
  </si>
  <si>
    <t>Postaramy się wyznaczyć teoretyczną wartość nośników analogowych dla kolejnych lat, w zależności od wartości płyt kompaktowych. Wykożystamy do tego średni przyrzyrost absolutny łańcuchowy dla płyt kompaktowych</t>
  </si>
  <si>
    <t>Z danej prognozy, wyznaczonej współczynnikiem regresji liniowej, możemy odczytać, że wartości nośników analogowych w 2003 roku powinny osiągnąć około 0 mld, co nie mija się z prawdą, ponieważ po 2003 ich warości na szeroką skalę branży muzycznej były nieznaczące (mniej niż 100 mld rocznie). Dane po prawej stronie to rzeczywiste przychodzy ze sprzedaży nośników analogowych.</t>
  </si>
  <si>
    <t>lata</t>
  </si>
  <si>
    <t>Wartość maksymalna</t>
  </si>
  <si>
    <t xml:space="preserve">Jak widać, maksymalna długosć badanych płyt jest skrajnie większa od 3 kwartyla opisującego ich długość. Możemy wywnioskować, że 25% badanych albumów ma długość od 57 do 129 minut. To świadczy o tym, że mało mamy popularnych albumów o długości znacząco odbiegających od normy, a jeśli już są, to są to pojedyńcze przypadki. </t>
  </si>
  <si>
    <t>Możemy powiedzieć, że 25% badanych albumów trwa nie dłużej niż 31 minut, a kolejne 25% twa nie krócej niż 57 minut. Ponadto połowa wszytskich albumów ma długość nie dłuższą, a druga połowa nie krótszą niż 44 minuty. Dodatkowo najwięcej badanych albumów ma około 47 minut. Średnio jednak wszytskie badane albumy trwają około 46 minut, a więc ponad połowa badanych alnumów była krótsza niż 46 min.</t>
  </si>
  <si>
    <t xml:space="preserve">Możemy zaobserwować bardzo dużą asymetrę danych. Najwięcej danych (albumów) jest skupionych z lewej strony wykresu, bliżej mediany, czyli mają długość zbliżoną do 44 minut. Po dominancie, czyli za albumami mającymi do 47 minut widzimy gwałtowny spadek w liczebnośc. Oznacza to, że mała liczba badanych albumów ma długość większa od dominanty. Na histogramie zaś możemy zaobserwować rozkład platokurtyczny, jednak sporo danych jest skupionych wokuł mediany, co może wzbudzić wrażenie, że jest on bardziej mezokurtyczny. </t>
  </si>
  <si>
    <t>Weźmy teraz dane dotyczące przyodów odpowiedznio przychodów ze sprzedaży płyt kompaktowych oraz nośników analogowych od roku do 1983 do 1999 w miliardach. Na ich podstawie będziemy badać korelacje</t>
  </si>
  <si>
    <t>Postanowiłem zbadać gługośc 100 najwiekszych (najczęściej słuchanych na spotify) albumumów muzycznych wydanych w roku 2023. Surowe dane można znaleźć w arkuszu "Surowe dane". Na ich podstawie wyliczyłem liczbę klas potrzebnych do stworzenia szeregu rozdzielczego przedziałowy.</t>
  </si>
  <si>
    <t>Większość badanych albumów mieści się w przedziale typowym, czyli trwają od około 25 do około 67 minut. Natomiast różnica w długości trwania połowy badanych albumów wynosi tylko 25 minut, mimo tego że różnica między najdłuższym, a najkrótszym badanym albumem wynosi aż 118 minut. Możemy zaobserwować jednak dosyć dużą zmienność badanych albumów, czyli duże zróżnicowanie długości płyt względem ich średniej arytmetycznej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</si>
</sst>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4" x14ac:knownFonts="1">
    <font>
      <sz val="11"/>
      <name val="Calibri"/>
    </font>
    <font>
      <b/>
      <sz val="11"/>
      <name val="Calibri"/>
    </font>
    <font>
      <sz val="11"/>
      <name val="Calibri"/>
      <family val="2"/>
      <charset val="238"/>
    </font>
    <font>
      <sz val="22"/>
      <name val="Calibri"/>
      <family val="2"/>
      <charset val="238"/>
    </font>
  </fonts>
  <fills count="32">
    <fill>
      <patternFill patternType="none"/>
    </fill>
    <fill>
      <patternFill patternType="gray125"/>
    </fill>
    <fill>
      <patternFill patternType="solid">
        <fgColor theme="5" tint="0.59999389629810485"/>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rgb="FFFFFF99"/>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3" tint="0.89999084444715716"/>
        <bgColor indexed="64"/>
      </patternFill>
    </fill>
    <fill>
      <patternFill patternType="solid">
        <fgColor theme="8" tint="0.39997558519241921"/>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2"/>
        <bgColor indexed="64"/>
      </patternFill>
    </fill>
    <fill>
      <patternFill patternType="solid">
        <fgColor rgb="FFFF0000"/>
        <bgColor indexed="64"/>
      </patternFill>
    </fill>
    <fill>
      <patternFill patternType="solid">
        <fgColor rgb="FFFF9966"/>
        <bgColor indexed="64"/>
      </patternFill>
    </fill>
    <fill>
      <patternFill patternType="solid">
        <fgColor theme="0"/>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1" tint="0.499984740745262"/>
        <bgColor indexed="64"/>
      </patternFill>
    </fill>
    <fill>
      <patternFill patternType="solid">
        <fgColor theme="2" tint="-9.9978637043366805E-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ck">
        <color auto="1"/>
      </left>
      <right style="thick">
        <color auto="1"/>
      </right>
      <top/>
      <bottom/>
      <diagonal/>
    </border>
    <border>
      <left style="thick">
        <color auto="1"/>
      </left>
      <right/>
      <top/>
      <bottom/>
      <diagonal/>
    </border>
  </borders>
  <cellStyleXfs count="1">
    <xf numFmtId="0" fontId="0" fillId="0" borderId="0"/>
  </cellStyleXfs>
  <cellXfs count="249">
    <xf numFmtId="0" fontId="0" fillId="0" borderId="0" xfId="0"/>
    <xf numFmtId="0" fontId="1" fillId="0" borderId="0" xfId="0" applyFont="1"/>
    <xf numFmtId="3" fontId="0" fillId="0" borderId="0" xfId="0" applyNumberFormat="1"/>
    <xf numFmtId="1" fontId="0" fillId="0" borderId="0" xfId="0" applyNumberFormat="1"/>
    <xf numFmtId="164" fontId="0" fillId="0" borderId="0" xfId="0" applyNumberFormat="1"/>
    <xf numFmtId="21" fontId="0" fillId="0" borderId="0" xfId="0" applyNumberFormat="1"/>
    <xf numFmtId="46" fontId="0" fillId="0" borderId="0" xfId="0" applyNumberFormat="1"/>
    <xf numFmtId="0" fontId="0" fillId="0" borderId="0" xfId="0" applyAlignment="1">
      <alignment horizontal="left"/>
    </xf>
    <xf numFmtId="0" fontId="0" fillId="0" borderId="0" xfId="0" applyAlignment="1">
      <alignment horizontal="right"/>
    </xf>
    <xf numFmtId="1" fontId="0" fillId="0" borderId="0" xfId="0" applyNumberFormat="1" applyAlignment="1">
      <alignment horizontal="left"/>
    </xf>
    <xf numFmtId="0" fontId="2" fillId="0" borderId="0" xfId="0" applyFont="1"/>
    <xf numFmtId="0" fontId="2" fillId="2" borderId="2" xfId="0" applyFont="1" applyFill="1" applyBorder="1"/>
    <xf numFmtId="0" fontId="2" fillId="2" borderId="3" xfId="0" applyFont="1" applyFill="1" applyBorder="1"/>
    <xf numFmtId="0" fontId="2" fillId="2" borderId="4" xfId="0" applyFont="1" applyFill="1" applyBorder="1"/>
    <xf numFmtId="0" fontId="2" fillId="2" borderId="2" xfId="0" applyFont="1" applyFill="1" applyBorder="1" applyAlignment="1">
      <alignment horizontal="right"/>
    </xf>
    <xf numFmtId="0" fontId="2" fillId="2" borderId="3" xfId="0" applyFont="1" applyFill="1" applyBorder="1" applyAlignment="1">
      <alignment horizontal="right"/>
    </xf>
    <xf numFmtId="0" fontId="0" fillId="2" borderId="3" xfId="0" applyFill="1" applyBorder="1" applyAlignment="1">
      <alignment horizontal="right" vertical="center"/>
    </xf>
    <xf numFmtId="0" fontId="0" fillId="2" borderId="3" xfId="0" applyFill="1" applyBorder="1" applyAlignment="1">
      <alignment horizontal="right"/>
    </xf>
    <xf numFmtId="0" fontId="2" fillId="2" borderId="4" xfId="0" applyFont="1" applyFill="1" applyBorder="1" applyAlignment="1">
      <alignment horizontal="right"/>
    </xf>
    <xf numFmtId="0" fontId="0" fillId="2" borderId="2" xfId="0" applyFill="1" applyBorder="1" applyAlignment="1">
      <alignment horizontal="left"/>
    </xf>
    <xf numFmtId="0" fontId="0" fillId="2" borderId="3" xfId="0" applyFill="1" applyBorder="1" applyAlignment="1">
      <alignment horizontal="left"/>
    </xf>
    <xf numFmtId="1" fontId="0" fillId="2" borderId="3" xfId="0" applyNumberFormat="1" applyFill="1" applyBorder="1" applyAlignment="1">
      <alignment horizontal="left"/>
    </xf>
    <xf numFmtId="1" fontId="0" fillId="2" borderId="4" xfId="0" applyNumberFormat="1" applyFill="1" applyBorder="1" applyAlignment="1">
      <alignment horizontal="left"/>
    </xf>
    <xf numFmtId="0" fontId="2" fillId="3" borderId="0" xfId="0" applyFont="1" applyFill="1" applyAlignment="1">
      <alignment horizontal="center"/>
    </xf>
    <xf numFmtId="0" fontId="2" fillId="3" borderId="0" xfId="0" applyFont="1" applyFill="1" applyAlignment="1">
      <alignment horizontal="center" vertical="center"/>
    </xf>
    <xf numFmtId="17" fontId="2" fillId="4" borderId="0" xfId="0" applyNumberFormat="1" applyFont="1" applyFill="1" applyAlignment="1">
      <alignment horizontal="right"/>
    </xf>
    <xf numFmtId="0" fontId="2" fillId="4" borderId="0" xfId="0" applyFont="1" applyFill="1" applyAlignment="1">
      <alignment horizontal="center" vertical="center"/>
    </xf>
    <xf numFmtId="0" fontId="2" fillId="4" borderId="0" xfId="0" applyFont="1" applyFill="1" applyAlignment="1">
      <alignment horizontal="right"/>
    </xf>
    <xf numFmtId="0" fontId="0" fillId="3" borderId="2" xfId="0" applyFill="1" applyBorder="1"/>
    <xf numFmtId="0" fontId="0" fillId="4" borderId="1" xfId="0" applyFill="1" applyBorder="1"/>
    <xf numFmtId="0" fontId="0" fillId="4" borderId="1" xfId="0" applyFill="1" applyBorder="1" applyAlignment="1">
      <alignment horizontal="right"/>
    </xf>
    <xf numFmtId="0" fontId="2" fillId="4" borderId="1" xfId="0" applyFont="1" applyFill="1" applyBorder="1" applyAlignment="1">
      <alignment horizontal="right"/>
    </xf>
    <xf numFmtId="0" fontId="2" fillId="3" borderId="1" xfId="0" applyFont="1" applyFill="1" applyBorder="1"/>
    <xf numFmtId="0" fontId="2" fillId="9" borderId="0" xfId="0" applyFont="1" applyFill="1"/>
    <xf numFmtId="0" fontId="2" fillId="9" borderId="0" xfId="0" applyFont="1" applyFill="1" applyAlignment="1">
      <alignment horizontal="right"/>
    </xf>
    <xf numFmtId="0" fontId="2" fillId="10" borderId="0" xfId="0" applyFont="1" applyFill="1"/>
    <xf numFmtId="0" fontId="2" fillId="12" borderId="0" xfId="0" applyFont="1" applyFill="1"/>
    <xf numFmtId="0" fontId="0" fillId="12" borderId="0" xfId="0" applyFill="1"/>
    <xf numFmtId="0" fontId="2" fillId="10" borderId="0" xfId="0" applyFont="1" applyFill="1" applyAlignment="1">
      <alignment horizontal="right"/>
    </xf>
    <xf numFmtId="0" fontId="2" fillId="12" borderId="0" xfId="0" applyFont="1" applyFill="1" applyAlignment="1">
      <alignment horizontal="right"/>
    </xf>
    <xf numFmtId="0" fontId="0" fillId="12" borderId="0" xfId="0" applyFill="1" applyAlignment="1">
      <alignment horizontal="right"/>
    </xf>
    <xf numFmtId="0" fontId="0" fillId="13" borderId="0" xfId="0" applyFill="1" applyAlignment="1">
      <alignment horizontal="left"/>
    </xf>
    <xf numFmtId="0" fontId="0" fillId="13" borderId="0" xfId="0" applyFill="1" applyAlignment="1">
      <alignment horizontal="right"/>
    </xf>
    <xf numFmtId="0" fontId="0" fillId="3" borderId="0" xfId="0" applyFill="1"/>
    <xf numFmtId="0" fontId="0" fillId="14" borderId="0" xfId="0" applyFill="1"/>
    <xf numFmtId="0" fontId="0" fillId="3" borderId="1" xfId="0" applyFill="1" applyBorder="1"/>
    <xf numFmtId="0" fontId="0" fillId="14" borderId="1" xfId="0" applyFill="1" applyBorder="1"/>
    <xf numFmtId="0" fontId="0" fillId="17" borderId="1" xfId="0" applyFill="1" applyBorder="1"/>
    <xf numFmtId="10" fontId="0" fillId="17" borderId="1" xfId="0" applyNumberFormat="1" applyFill="1" applyBorder="1"/>
    <xf numFmtId="0" fontId="0" fillId="18" borderId="1" xfId="0" applyFill="1" applyBorder="1"/>
    <xf numFmtId="0" fontId="0" fillId="14" borderId="1" xfId="0" applyFill="1" applyBorder="1" applyAlignment="1">
      <alignment horizontal="left"/>
    </xf>
    <xf numFmtId="0" fontId="0" fillId="0" borderId="8" xfId="0" applyBorder="1"/>
    <xf numFmtId="0" fontId="0" fillId="0" borderId="11" xfId="0" applyBorder="1"/>
    <xf numFmtId="0" fontId="0" fillId="0" borderId="12" xfId="0" applyBorder="1"/>
    <xf numFmtId="0" fontId="0" fillId="0" borderId="9" xfId="0" applyBorder="1"/>
    <xf numFmtId="0" fontId="0" fillId="17" borderId="6" xfId="0" applyFill="1" applyBorder="1"/>
    <xf numFmtId="0" fontId="0" fillId="17" borderId="8" xfId="0" applyFill="1" applyBorder="1"/>
    <xf numFmtId="0" fontId="0" fillId="17" borderId="11" xfId="0" applyFill="1" applyBorder="1"/>
    <xf numFmtId="0" fontId="0" fillId="17" borderId="12" xfId="0" applyFill="1" applyBorder="1"/>
    <xf numFmtId="0" fontId="0" fillId="17" borderId="9" xfId="0" applyFill="1" applyBorder="1"/>
    <xf numFmtId="0" fontId="0" fillId="17" borderId="10" xfId="0" applyFill="1" applyBorder="1"/>
    <xf numFmtId="0" fontId="0" fillId="9" borderId="2" xfId="0" applyFill="1" applyBorder="1"/>
    <xf numFmtId="0" fontId="0" fillId="9" borderId="3" xfId="0" applyFill="1" applyBorder="1"/>
    <xf numFmtId="0" fontId="0" fillId="9" borderId="4" xfId="0" applyFill="1" applyBorder="1"/>
    <xf numFmtId="0" fontId="0" fillId="17" borderId="2" xfId="0" applyFill="1" applyBorder="1"/>
    <xf numFmtId="0" fontId="0" fillId="17" borderId="3" xfId="0" applyFill="1" applyBorder="1"/>
    <xf numFmtId="0" fontId="0" fillId="17" borderId="4" xfId="0" applyFill="1" applyBorder="1"/>
    <xf numFmtId="0" fontId="0" fillId="0" borderId="7" xfId="0" applyBorder="1"/>
    <xf numFmtId="0" fontId="0" fillId="0" borderId="5" xfId="0" applyBorder="1"/>
    <xf numFmtId="0" fontId="0" fillId="22" borderId="1" xfId="0" applyFill="1" applyBorder="1" applyAlignment="1">
      <alignment horizontal="center" vertical="center"/>
    </xf>
    <xf numFmtId="0" fontId="0" fillId="24" borderId="2" xfId="0" applyFill="1" applyBorder="1"/>
    <xf numFmtId="0" fontId="0" fillId="24" borderId="3" xfId="0" applyFill="1" applyBorder="1"/>
    <xf numFmtId="0" fontId="0" fillId="24" borderId="9" xfId="0" applyFill="1" applyBorder="1"/>
    <xf numFmtId="0" fontId="0" fillId="24" borderId="5" xfId="0" applyFill="1" applyBorder="1"/>
    <xf numFmtId="0" fontId="0" fillId="7" borderId="8" xfId="0" applyFill="1" applyBorder="1"/>
    <xf numFmtId="0" fontId="0" fillId="7" borderId="6" xfId="0" applyFill="1" applyBorder="1"/>
    <xf numFmtId="0" fontId="0" fillId="7" borderId="9" xfId="0" applyFill="1" applyBorder="1"/>
    <xf numFmtId="0" fontId="0" fillId="7" borderId="10" xfId="0" applyFill="1" applyBorder="1"/>
    <xf numFmtId="0" fontId="0" fillId="24" borderId="12" xfId="0" applyFill="1" applyBorder="1"/>
    <xf numFmtId="0" fontId="0" fillId="24" borderId="11" xfId="0" applyFill="1" applyBorder="1"/>
    <xf numFmtId="0" fontId="0" fillId="24" borderId="0" xfId="0" applyFill="1"/>
    <xf numFmtId="0" fontId="0" fillId="7" borderId="7" xfId="0" applyFill="1" applyBorder="1"/>
    <xf numFmtId="0" fontId="0" fillId="7" borderId="5" xfId="0" applyFill="1" applyBorder="1"/>
    <xf numFmtId="0" fontId="0" fillId="17" borderId="7" xfId="0" applyFill="1" applyBorder="1"/>
    <xf numFmtId="0" fontId="0" fillId="17" borderId="5" xfId="0" applyFill="1" applyBorder="1"/>
    <xf numFmtId="0" fontId="0" fillId="2" borderId="0" xfId="0" applyFill="1"/>
    <xf numFmtId="0" fontId="0" fillId="25" borderId="16" xfId="0" applyFill="1" applyBorder="1"/>
    <xf numFmtId="0" fontId="0" fillId="25" borderId="17" xfId="0" applyFill="1" applyBorder="1"/>
    <xf numFmtId="0" fontId="0" fillId="26" borderId="18" xfId="0" applyFill="1" applyBorder="1" applyAlignment="1">
      <alignment horizontal="center" vertical="center"/>
    </xf>
    <xf numFmtId="0" fontId="0" fillId="26" borderId="18" xfId="0" applyFill="1" applyBorder="1"/>
    <xf numFmtId="0" fontId="0" fillId="0" borderId="11" xfId="0" applyBorder="1" applyAlignment="1">
      <alignment vertical="center"/>
    </xf>
    <xf numFmtId="0" fontId="0" fillId="0" borderId="0" xfId="0" applyAlignment="1">
      <alignment vertical="center"/>
    </xf>
    <xf numFmtId="0" fontId="0" fillId="16" borderId="0" xfId="0" applyFill="1"/>
    <xf numFmtId="0" fontId="0" fillId="16" borderId="0" xfId="0" applyFill="1" applyAlignment="1">
      <alignment horizontal="right"/>
    </xf>
    <xf numFmtId="0" fontId="0" fillId="15" borderId="0" xfId="0" applyFill="1" applyAlignment="1">
      <alignment horizontal="left"/>
    </xf>
    <xf numFmtId="0" fontId="0" fillId="17" borderId="0" xfId="0" applyFill="1"/>
    <xf numFmtId="0" fontId="0" fillId="17" borderId="0" xfId="0" applyFill="1" applyAlignment="1">
      <alignment horizontal="right"/>
    </xf>
    <xf numFmtId="0" fontId="0" fillId="14" borderId="0" xfId="0" applyFill="1" applyAlignment="1">
      <alignment horizontal="left"/>
    </xf>
    <xf numFmtId="0" fontId="2" fillId="17" borderId="0" xfId="0" applyFont="1" applyFill="1" applyAlignment="1">
      <alignment horizontal="right"/>
    </xf>
    <xf numFmtId="0" fontId="0" fillId="14" borderId="0" xfId="0" quotePrefix="1" applyFill="1"/>
    <xf numFmtId="0" fontId="0" fillId="0" borderId="10" xfId="0" applyBorder="1"/>
    <xf numFmtId="0" fontId="0" fillId="17" borderId="0" xfId="0" applyFill="1" applyAlignment="1">
      <alignment horizontal="left"/>
    </xf>
    <xf numFmtId="0" fontId="0" fillId="0" borderId="6" xfId="0" applyBorder="1" applyAlignment="1">
      <alignment vertical="center"/>
    </xf>
    <xf numFmtId="0" fontId="0" fillId="0" borderId="7" xfId="0" applyBorder="1" applyAlignment="1">
      <alignment vertical="center"/>
    </xf>
    <xf numFmtId="0" fontId="2" fillId="0" borderId="0" xfId="0" applyFont="1" applyAlignment="1">
      <alignment horizontal="center" vertical="center" wrapText="1"/>
    </xf>
    <xf numFmtId="0" fontId="0" fillId="27" borderId="0" xfId="0" applyFill="1"/>
    <xf numFmtId="10" fontId="0" fillId="27" borderId="0" xfId="0" applyNumberFormat="1" applyFill="1"/>
    <xf numFmtId="0" fontId="0" fillId="27" borderId="5" xfId="0" applyFill="1" applyBorder="1"/>
    <xf numFmtId="10" fontId="0" fillId="27" borderId="5" xfId="0" applyNumberFormat="1" applyFill="1" applyBorder="1"/>
    <xf numFmtId="0" fontId="0" fillId="6" borderId="2" xfId="0" applyFill="1" applyBorder="1" applyAlignment="1">
      <alignment horizontal="left"/>
    </xf>
    <xf numFmtId="0" fontId="0" fillId="6" borderId="3" xfId="0" applyFill="1" applyBorder="1" applyAlignment="1">
      <alignment horizontal="left"/>
    </xf>
    <xf numFmtId="0" fontId="0" fillId="6" borderId="4" xfId="0" applyFill="1" applyBorder="1" applyAlignment="1">
      <alignment horizontal="left"/>
    </xf>
    <xf numFmtId="0" fontId="0" fillId="5" borderId="2" xfId="0" applyFill="1" applyBorder="1" applyAlignment="1">
      <alignment horizontal="left"/>
    </xf>
    <xf numFmtId="0" fontId="0" fillId="5" borderId="3" xfId="0" applyFill="1" applyBorder="1" applyAlignment="1">
      <alignment horizontal="left"/>
    </xf>
    <xf numFmtId="0" fontId="0" fillId="5" borderId="4" xfId="0" applyFill="1" applyBorder="1" applyAlignment="1">
      <alignment horizontal="left"/>
    </xf>
    <xf numFmtId="0" fontId="0" fillId="11" borderId="2" xfId="0" applyFill="1" applyBorder="1" applyAlignment="1">
      <alignment horizontal="left"/>
    </xf>
    <xf numFmtId="0" fontId="0" fillId="11" borderId="3" xfId="0" applyFill="1" applyBorder="1" applyAlignment="1">
      <alignment horizontal="left"/>
    </xf>
    <xf numFmtId="0" fontId="0" fillId="11" borderId="4" xfId="0" applyFill="1" applyBorder="1" applyAlignment="1">
      <alignment horizontal="left"/>
    </xf>
    <xf numFmtId="0" fontId="0" fillId="18" borderId="14" xfId="0" applyFill="1" applyBorder="1" applyAlignment="1">
      <alignment vertical="center"/>
    </xf>
    <xf numFmtId="0" fontId="0" fillId="0" borderId="11" xfId="0" applyBorder="1" applyAlignment="1">
      <alignment vertical="center" wrapText="1"/>
    </xf>
    <xf numFmtId="0" fontId="0" fillId="0" borderId="0" xfId="0" applyAlignment="1">
      <alignment vertical="center" wrapText="1"/>
    </xf>
    <xf numFmtId="0" fontId="0" fillId="0" borderId="6" xfId="0" applyBorder="1"/>
    <xf numFmtId="0" fontId="0" fillId="27" borderId="12" xfId="0" applyFill="1" applyBorder="1"/>
    <xf numFmtId="0" fontId="0" fillId="29" borderId="0" xfId="0" applyFill="1"/>
    <xf numFmtId="0" fontId="0" fillId="27" borderId="10" xfId="0" applyFill="1" applyBorder="1"/>
    <xf numFmtId="0" fontId="0" fillId="30" borderId="0" xfId="0" applyFill="1" applyAlignment="1">
      <alignment horizontal="right"/>
    </xf>
    <xf numFmtId="0" fontId="0" fillId="30" borderId="0" xfId="0" applyFill="1"/>
    <xf numFmtId="0" fontId="0" fillId="31" borderId="0" xfId="0" applyFill="1"/>
    <xf numFmtId="0" fontId="0" fillId="28" borderId="7" xfId="0" applyFill="1" applyBorder="1"/>
    <xf numFmtId="0" fontId="0" fillId="28" borderId="8" xfId="0" applyFill="1" applyBorder="1"/>
    <xf numFmtId="0" fontId="0" fillId="28" borderId="0" xfId="0" applyFill="1"/>
    <xf numFmtId="0" fontId="0" fillId="28" borderId="12" xfId="0" applyFill="1" applyBorder="1"/>
    <xf numFmtId="0" fontId="0" fillId="28" borderId="5" xfId="0" applyFill="1" applyBorder="1"/>
    <xf numFmtId="0" fontId="0" fillId="28" borderId="10" xfId="0" applyFill="1" applyBorder="1"/>
    <xf numFmtId="0" fontId="2" fillId="4" borderId="6" xfId="0" applyFont="1" applyFill="1" applyBorder="1" applyAlignment="1">
      <alignment horizontal="center" wrapText="1"/>
    </xf>
    <xf numFmtId="0" fontId="0" fillId="4" borderId="7" xfId="0" applyFill="1" applyBorder="1" applyAlignment="1">
      <alignment horizontal="center" wrapText="1"/>
    </xf>
    <xf numFmtId="0" fontId="0" fillId="4" borderId="8" xfId="0" applyFill="1" applyBorder="1" applyAlignment="1">
      <alignment horizontal="center" wrapText="1"/>
    </xf>
    <xf numFmtId="0" fontId="0" fillId="4" borderId="9" xfId="0" applyFill="1" applyBorder="1" applyAlignment="1">
      <alignment horizontal="center" wrapText="1"/>
    </xf>
    <xf numFmtId="0" fontId="0" fillId="4" borderId="5" xfId="0" applyFill="1" applyBorder="1" applyAlignment="1">
      <alignment horizontal="center" wrapText="1"/>
    </xf>
    <xf numFmtId="0" fontId="0" fillId="4" borderId="10" xfId="0" applyFill="1" applyBorder="1" applyAlignment="1">
      <alignment horizontal="center" wrapText="1"/>
    </xf>
    <xf numFmtId="0" fontId="2" fillId="18" borderId="0" xfId="0" applyFont="1" applyFill="1" applyAlignment="1">
      <alignment horizontal="center" vertical="center" wrapText="1"/>
    </xf>
    <xf numFmtId="0" fontId="2" fillId="7" borderId="6" xfId="0" applyFont="1" applyFill="1" applyBorder="1" applyAlignment="1">
      <alignment horizontal="center" vertical="center" wrapText="1"/>
    </xf>
    <xf numFmtId="0" fontId="0" fillId="7" borderId="7" xfId="0" applyFill="1" applyBorder="1" applyAlignment="1">
      <alignment horizontal="center" vertical="center" wrapText="1"/>
    </xf>
    <xf numFmtId="0" fontId="0" fillId="7" borderId="8" xfId="0" applyFill="1" applyBorder="1" applyAlignment="1">
      <alignment horizontal="center" vertical="center" wrapText="1"/>
    </xf>
    <xf numFmtId="0" fontId="0" fillId="7" borderId="11" xfId="0" applyFill="1" applyBorder="1" applyAlignment="1">
      <alignment horizontal="center" vertical="center" wrapText="1"/>
    </xf>
    <xf numFmtId="0" fontId="0" fillId="7" borderId="0" xfId="0" applyFill="1" applyAlignment="1">
      <alignment horizontal="center" vertical="center" wrapText="1"/>
    </xf>
    <xf numFmtId="0" fontId="0" fillId="7" borderId="12" xfId="0" applyFill="1" applyBorder="1" applyAlignment="1">
      <alignment horizontal="center" vertical="center" wrapText="1"/>
    </xf>
    <xf numFmtId="0" fontId="0" fillId="7" borderId="9" xfId="0" applyFill="1" applyBorder="1" applyAlignment="1">
      <alignment horizontal="center" vertical="center" wrapText="1"/>
    </xf>
    <xf numFmtId="0" fontId="0" fillId="7" borderId="5" xfId="0" applyFill="1" applyBorder="1" applyAlignment="1">
      <alignment horizontal="center" vertical="center" wrapText="1"/>
    </xf>
    <xf numFmtId="0" fontId="0" fillId="7" borderId="10" xfId="0" applyFill="1" applyBorder="1" applyAlignment="1">
      <alignment horizontal="center" vertical="center" wrapText="1"/>
    </xf>
    <xf numFmtId="0" fontId="0" fillId="12" borderId="6" xfId="0" applyFill="1" applyBorder="1" applyAlignment="1">
      <alignment horizontal="center" vertical="center" wrapText="1"/>
    </xf>
    <xf numFmtId="0" fontId="0" fillId="12" borderId="7" xfId="0" applyFill="1" applyBorder="1" applyAlignment="1">
      <alignment horizontal="center" vertical="center" wrapText="1"/>
    </xf>
    <xf numFmtId="0" fontId="0" fillId="12" borderId="8" xfId="0" applyFill="1" applyBorder="1" applyAlignment="1">
      <alignment horizontal="center" vertical="center" wrapText="1"/>
    </xf>
    <xf numFmtId="0" fontId="0" fillId="12" borderId="11" xfId="0" applyFill="1" applyBorder="1" applyAlignment="1">
      <alignment horizontal="center" vertical="center" wrapText="1"/>
    </xf>
    <xf numFmtId="0" fontId="0" fillId="12" borderId="0" xfId="0" applyFill="1" applyAlignment="1">
      <alignment horizontal="center" vertical="center" wrapText="1"/>
    </xf>
    <xf numFmtId="0" fontId="0" fillId="12" borderId="12" xfId="0" applyFill="1" applyBorder="1" applyAlignment="1">
      <alignment horizontal="center" vertical="center" wrapText="1"/>
    </xf>
    <xf numFmtId="0" fontId="0" fillId="12" borderId="9" xfId="0" applyFill="1" applyBorder="1" applyAlignment="1">
      <alignment horizontal="center" vertical="center" wrapText="1"/>
    </xf>
    <xf numFmtId="0" fontId="0" fillId="12" borderId="5" xfId="0" applyFill="1" applyBorder="1" applyAlignment="1">
      <alignment horizontal="center" vertical="center" wrapText="1"/>
    </xf>
    <xf numFmtId="0" fontId="0" fillId="12" borderId="10" xfId="0" applyFill="1" applyBorder="1" applyAlignment="1">
      <alignment horizontal="center" vertical="center" wrapText="1"/>
    </xf>
    <xf numFmtId="0" fontId="0" fillId="10" borderId="6" xfId="0" applyFill="1" applyBorder="1" applyAlignment="1">
      <alignment horizontal="center" vertical="center" wrapText="1"/>
    </xf>
    <xf numFmtId="0" fontId="0" fillId="10" borderId="7" xfId="0" applyFill="1" applyBorder="1" applyAlignment="1">
      <alignment horizontal="center" vertical="center" wrapText="1"/>
    </xf>
    <xf numFmtId="0" fontId="0" fillId="10" borderId="8" xfId="0" applyFill="1" applyBorder="1" applyAlignment="1">
      <alignment horizontal="center" vertical="center" wrapText="1"/>
    </xf>
    <xf numFmtId="0" fontId="0" fillId="10" borderId="11" xfId="0" applyFill="1" applyBorder="1" applyAlignment="1">
      <alignment horizontal="center" vertical="center" wrapText="1"/>
    </xf>
    <xf numFmtId="0" fontId="0" fillId="10" borderId="0" xfId="0" applyFill="1" applyAlignment="1">
      <alignment horizontal="center" vertical="center" wrapText="1"/>
    </xf>
    <xf numFmtId="0" fontId="0" fillId="10" borderId="12" xfId="0" applyFill="1" applyBorder="1" applyAlignment="1">
      <alignment horizontal="center" vertical="center" wrapText="1"/>
    </xf>
    <xf numFmtId="0" fontId="0" fillId="10" borderId="9" xfId="0" applyFill="1" applyBorder="1" applyAlignment="1">
      <alignment horizontal="center" vertical="center" wrapText="1"/>
    </xf>
    <xf numFmtId="0" fontId="0" fillId="10" borderId="5" xfId="0" applyFill="1" applyBorder="1" applyAlignment="1">
      <alignment horizontal="center" vertical="center" wrapText="1"/>
    </xf>
    <xf numFmtId="0" fontId="0" fillId="10" borderId="10" xfId="0" applyFill="1" applyBorder="1" applyAlignment="1">
      <alignment horizontal="center" vertical="center" wrapText="1"/>
    </xf>
    <xf numFmtId="0" fontId="2" fillId="7" borderId="0" xfId="0" applyFont="1" applyFill="1" applyAlignment="1">
      <alignment horizontal="center" vertical="center" wrapText="1"/>
    </xf>
    <xf numFmtId="0" fontId="2" fillId="8" borderId="13" xfId="0" applyFont="1" applyFill="1" applyBorder="1" applyAlignment="1">
      <alignment horizontal="center"/>
    </xf>
    <xf numFmtId="0" fontId="2" fillId="8" borderId="14" xfId="0" applyFont="1" applyFill="1" applyBorder="1" applyAlignment="1">
      <alignment horizontal="center"/>
    </xf>
    <xf numFmtId="0" fontId="2" fillId="5" borderId="13" xfId="0" applyFont="1" applyFill="1" applyBorder="1" applyAlignment="1">
      <alignment horizontal="center" vertical="center"/>
    </xf>
    <xf numFmtId="0" fontId="2" fillId="5" borderId="14" xfId="0" applyFont="1" applyFill="1" applyBorder="1" applyAlignment="1">
      <alignment horizontal="center" vertical="center"/>
    </xf>
    <xf numFmtId="0" fontId="2" fillId="11" borderId="13" xfId="0" applyFont="1" applyFill="1" applyBorder="1" applyAlignment="1">
      <alignment horizontal="center"/>
    </xf>
    <xf numFmtId="0" fontId="0" fillId="11" borderId="14" xfId="0" applyFill="1" applyBorder="1" applyAlignment="1">
      <alignment horizontal="center"/>
    </xf>
    <xf numFmtId="0" fontId="2" fillId="9" borderId="6" xfId="0" applyFont="1" applyFill="1" applyBorder="1" applyAlignment="1">
      <alignment horizontal="center" vertical="center" wrapText="1"/>
    </xf>
    <xf numFmtId="0" fontId="2" fillId="9" borderId="7" xfId="0" applyFont="1" applyFill="1" applyBorder="1" applyAlignment="1">
      <alignment horizontal="center" vertical="center" wrapText="1"/>
    </xf>
    <xf numFmtId="0" fontId="2" fillId="9" borderId="8" xfId="0" applyFont="1" applyFill="1" applyBorder="1" applyAlignment="1">
      <alignment horizontal="center" vertical="center" wrapText="1"/>
    </xf>
    <xf numFmtId="0" fontId="2" fillId="9" borderId="11" xfId="0" applyFont="1" applyFill="1" applyBorder="1" applyAlignment="1">
      <alignment horizontal="center" vertical="center" wrapText="1"/>
    </xf>
    <xf numFmtId="0" fontId="2" fillId="9" borderId="0" xfId="0" applyFont="1" applyFill="1" applyAlignment="1">
      <alignment horizontal="center" vertical="center" wrapText="1"/>
    </xf>
    <xf numFmtId="0" fontId="2" fillId="9" borderId="12" xfId="0" applyFont="1" applyFill="1" applyBorder="1" applyAlignment="1">
      <alignment horizontal="center" vertical="center" wrapText="1"/>
    </xf>
    <xf numFmtId="0" fontId="2" fillId="9" borderId="9" xfId="0" applyFont="1" applyFill="1" applyBorder="1" applyAlignment="1">
      <alignment horizontal="center" vertical="center" wrapText="1"/>
    </xf>
    <xf numFmtId="0" fontId="2" fillId="9" borderId="5"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0" fillId="0" borderId="6" xfId="0" applyBorder="1" applyAlignment="1">
      <alignment vertical="center" textRotation="90"/>
    </xf>
    <xf numFmtId="0" fontId="0" fillId="0" borderId="11" xfId="0" applyBorder="1" applyAlignment="1">
      <alignment vertical="center" textRotation="90"/>
    </xf>
    <xf numFmtId="0" fontId="0" fillId="0" borderId="9" xfId="0" applyBorder="1" applyAlignment="1">
      <alignment vertical="center" textRotation="90"/>
    </xf>
    <xf numFmtId="0" fontId="0" fillId="18" borderId="13" xfId="0" applyFill="1" applyBorder="1" applyAlignment="1">
      <alignment horizontal="center"/>
    </xf>
    <xf numFmtId="0" fontId="0" fillId="18" borderId="14" xfId="0" applyFill="1" applyBorder="1" applyAlignment="1">
      <alignment horizontal="center"/>
    </xf>
    <xf numFmtId="0" fontId="2" fillId="23" borderId="13" xfId="0" applyFont="1" applyFill="1" applyBorder="1" applyAlignment="1">
      <alignment horizontal="center" vertical="center" wrapText="1"/>
    </xf>
    <xf numFmtId="0" fontId="0" fillId="23" borderId="15" xfId="0" applyFill="1" applyBorder="1" applyAlignment="1">
      <alignment horizontal="center" vertical="center" wrapText="1"/>
    </xf>
    <xf numFmtId="0" fontId="0" fillId="23" borderId="14" xfId="0" applyFill="1" applyBorder="1" applyAlignment="1">
      <alignment horizontal="center" vertical="center" wrapText="1"/>
    </xf>
    <xf numFmtId="0" fontId="3" fillId="0" borderId="19" xfId="0" applyFont="1" applyBorder="1" applyAlignment="1">
      <alignment horizontal="center" vertical="center"/>
    </xf>
    <xf numFmtId="0" fontId="2" fillId="21" borderId="6" xfId="0" applyFont="1" applyFill="1" applyBorder="1" applyAlignment="1">
      <alignment horizontal="center" vertical="center" wrapText="1"/>
    </xf>
    <xf numFmtId="0" fontId="2" fillId="21" borderId="7" xfId="0" applyFont="1" applyFill="1" applyBorder="1" applyAlignment="1">
      <alignment horizontal="center" vertical="center" wrapText="1"/>
    </xf>
    <xf numFmtId="0" fontId="2" fillId="21" borderId="8" xfId="0" applyFont="1" applyFill="1" applyBorder="1" applyAlignment="1">
      <alignment horizontal="center" vertical="center" wrapText="1"/>
    </xf>
    <xf numFmtId="0" fontId="2" fillId="21" borderId="11" xfId="0" applyFont="1" applyFill="1" applyBorder="1" applyAlignment="1">
      <alignment horizontal="center" vertical="center" wrapText="1"/>
    </xf>
    <xf numFmtId="0" fontId="2" fillId="21" borderId="0" xfId="0" applyFont="1" applyFill="1" applyAlignment="1">
      <alignment horizontal="center" vertical="center" wrapText="1"/>
    </xf>
    <xf numFmtId="0" fontId="2" fillId="21" borderId="12" xfId="0" applyFont="1" applyFill="1" applyBorder="1" applyAlignment="1">
      <alignment horizontal="center" vertical="center" wrapText="1"/>
    </xf>
    <xf numFmtId="0" fontId="2" fillId="21" borderId="9" xfId="0" applyFont="1" applyFill="1" applyBorder="1" applyAlignment="1">
      <alignment horizontal="center" vertical="center" wrapText="1"/>
    </xf>
    <xf numFmtId="0" fontId="2" fillId="21" borderId="5" xfId="0" applyFont="1" applyFill="1" applyBorder="1" applyAlignment="1">
      <alignment horizontal="center" vertical="center" wrapText="1"/>
    </xf>
    <xf numFmtId="0" fontId="2" fillId="21" borderId="10" xfId="0" applyFont="1" applyFill="1" applyBorder="1" applyAlignment="1">
      <alignment horizontal="center" vertical="center" wrapText="1"/>
    </xf>
    <xf numFmtId="0" fontId="0" fillId="21" borderId="6" xfId="0" applyFill="1" applyBorder="1" applyAlignment="1">
      <alignment horizontal="center" vertical="center" wrapText="1"/>
    </xf>
    <xf numFmtId="0" fontId="0" fillId="21" borderId="7" xfId="0" applyFill="1" applyBorder="1" applyAlignment="1">
      <alignment horizontal="center" vertical="center" wrapText="1"/>
    </xf>
    <xf numFmtId="0" fontId="0" fillId="21" borderId="8" xfId="0" applyFill="1" applyBorder="1" applyAlignment="1">
      <alignment horizontal="center" vertical="center" wrapText="1"/>
    </xf>
    <xf numFmtId="0" fontId="0" fillId="21" borderId="11" xfId="0" applyFill="1" applyBorder="1" applyAlignment="1">
      <alignment horizontal="center" vertical="center" wrapText="1"/>
    </xf>
    <xf numFmtId="0" fontId="0" fillId="21" borderId="0" xfId="0" applyFill="1" applyAlignment="1">
      <alignment horizontal="center" vertical="center" wrapText="1"/>
    </xf>
    <xf numFmtId="0" fontId="0" fillId="21" borderId="12" xfId="0" applyFill="1" applyBorder="1" applyAlignment="1">
      <alignment horizontal="center" vertical="center" wrapText="1"/>
    </xf>
    <xf numFmtId="0" fontId="0" fillId="21" borderId="9" xfId="0" applyFill="1" applyBorder="1" applyAlignment="1">
      <alignment horizontal="center" vertical="center" wrapText="1"/>
    </xf>
    <xf numFmtId="0" fontId="0" fillId="21" borderId="5" xfId="0" applyFill="1" applyBorder="1" applyAlignment="1">
      <alignment horizontal="center" vertical="center" wrapText="1"/>
    </xf>
    <xf numFmtId="0" fontId="0" fillId="21" borderId="10" xfId="0" applyFill="1" applyBorder="1" applyAlignment="1">
      <alignment horizontal="center" vertical="center" wrapText="1"/>
    </xf>
    <xf numFmtId="0" fontId="0" fillId="15" borderId="0" xfId="0" applyFill="1" applyAlignment="1">
      <alignment horizontal="center"/>
    </xf>
    <xf numFmtId="0" fontId="0" fillId="14" borderId="0" xfId="0" applyFill="1" applyAlignment="1">
      <alignment horizontal="center"/>
    </xf>
    <xf numFmtId="0" fontId="0" fillId="19" borderId="1" xfId="0" applyFill="1" applyBorder="1" applyAlignment="1">
      <alignment horizontal="center" vertical="center" wrapText="1"/>
    </xf>
    <xf numFmtId="0" fontId="0" fillId="20" borderId="1" xfId="0" applyFill="1" applyBorder="1" applyAlignment="1">
      <alignment horizontal="center"/>
    </xf>
    <xf numFmtId="0" fontId="0" fillId="14" borderId="1" xfId="0" applyFill="1" applyBorder="1" applyAlignment="1">
      <alignment horizontal="center"/>
    </xf>
    <xf numFmtId="0" fontId="2" fillId="17" borderId="6" xfId="0" applyFont="1" applyFill="1" applyBorder="1" applyAlignment="1">
      <alignment horizontal="center" vertical="center" wrapText="1"/>
    </xf>
    <xf numFmtId="0" fontId="2" fillId="17" borderId="7" xfId="0" applyFont="1" applyFill="1" applyBorder="1" applyAlignment="1">
      <alignment horizontal="center" vertical="center" wrapText="1"/>
    </xf>
    <xf numFmtId="0" fontId="2" fillId="17" borderId="8" xfId="0" applyFont="1" applyFill="1" applyBorder="1" applyAlignment="1">
      <alignment horizontal="center" vertical="center" wrapText="1"/>
    </xf>
    <xf numFmtId="0" fontId="2" fillId="17" borderId="11" xfId="0" applyFont="1" applyFill="1" applyBorder="1" applyAlignment="1">
      <alignment horizontal="center" vertical="center" wrapText="1"/>
    </xf>
    <xf numFmtId="0" fontId="2" fillId="17" borderId="0" xfId="0" applyFont="1" applyFill="1" applyAlignment="1">
      <alignment horizontal="center" vertical="center" wrapText="1"/>
    </xf>
    <xf numFmtId="0" fontId="2" fillId="17" borderId="12" xfId="0" applyFont="1" applyFill="1" applyBorder="1" applyAlignment="1">
      <alignment horizontal="center" vertical="center" wrapText="1"/>
    </xf>
    <xf numFmtId="0" fontId="2" fillId="17" borderId="9" xfId="0" applyFont="1" applyFill="1" applyBorder="1" applyAlignment="1">
      <alignment horizontal="center" vertical="center" wrapText="1"/>
    </xf>
    <xf numFmtId="0" fontId="2" fillId="17" borderId="5" xfId="0" applyFont="1" applyFill="1" applyBorder="1" applyAlignment="1">
      <alignment horizontal="center" vertical="center" wrapText="1"/>
    </xf>
    <xf numFmtId="0" fontId="2" fillId="17" borderId="10" xfId="0" applyFont="1" applyFill="1" applyBorder="1" applyAlignment="1">
      <alignment horizontal="center" vertical="center" wrapText="1"/>
    </xf>
    <xf numFmtId="0" fontId="0" fillId="28" borderId="6" xfId="0" applyFill="1" applyBorder="1" applyAlignment="1">
      <alignment horizontal="center" vertical="center" wrapText="1"/>
    </xf>
    <xf numFmtId="0" fontId="0" fillId="28" borderId="7" xfId="0" applyFill="1" applyBorder="1" applyAlignment="1">
      <alignment horizontal="center" vertical="center" wrapText="1"/>
    </xf>
    <xf numFmtId="0" fontId="0" fillId="28" borderId="8" xfId="0" applyFill="1" applyBorder="1" applyAlignment="1">
      <alignment horizontal="center" vertical="center" wrapText="1"/>
    </xf>
    <xf numFmtId="0" fontId="0" fillId="28" borderId="11" xfId="0" applyFill="1" applyBorder="1" applyAlignment="1">
      <alignment horizontal="center" vertical="center" wrapText="1"/>
    </xf>
    <xf numFmtId="0" fontId="0" fillId="28" borderId="0" xfId="0" applyFill="1" applyAlignment="1">
      <alignment horizontal="center" vertical="center" wrapText="1"/>
    </xf>
    <xf numFmtId="0" fontId="0" fillId="28" borderId="12" xfId="0" applyFill="1" applyBorder="1" applyAlignment="1">
      <alignment horizontal="center" vertical="center" wrapText="1"/>
    </xf>
    <xf numFmtId="0" fontId="0" fillId="28" borderId="9" xfId="0" applyFill="1" applyBorder="1" applyAlignment="1">
      <alignment horizontal="center" vertical="center" wrapText="1"/>
    </xf>
    <xf numFmtId="0" fontId="0" fillId="28" borderId="5" xfId="0" applyFill="1" applyBorder="1" applyAlignment="1">
      <alignment horizontal="center" vertical="center" wrapText="1"/>
    </xf>
    <xf numFmtId="0" fontId="0" fillId="28" borderId="10" xfId="0" applyFill="1" applyBorder="1" applyAlignment="1">
      <alignment horizontal="center" vertical="center" wrapText="1"/>
    </xf>
    <xf numFmtId="0" fontId="0" fillId="17" borderId="6" xfId="0" applyFill="1" applyBorder="1" applyAlignment="1">
      <alignment horizontal="center" vertical="center" wrapText="1"/>
    </xf>
    <xf numFmtId="0" fontId="0" fillId="17" borderId="7" xfId="0" applyFill="1" applyBorder="1" applyAlignment="1">
      <alignment horizontal="center" vertical="center" wrapText="1"/>
    </xf>
    <xf numFmtId="0" fontId="0" fillId="17" borderId="8" xfId="0" applyFill="1" applyBorder="1" applyAlignment="1">
      <alignment horizontal="center" vertical="center" wrapText="1"/>
    </xf>
    <xf numFmtId="0" fontId="0" fillId="17" borderId="11" xfId="0" applyFill="1" applyBorder="1" applyAlignment="1">
      <alignment horizontal="center" vertical="center" wrapText="1"/>
    </xf>
    <xf numFmtId="0" fontId="0" fillId="17" borderId="0" xfId="0" applyFill="1" applyAlignment="1">
      <alignment horizontal="center" vertical="center" wrapText="1"/>
    </xf>
    <xf numFmtId="0" fontId="0" fillId="17" borderId="12" xfId="0" applyFill="1" applyBorder="1" applyAlignment="1">
      <alignment horizontal="center" vertical="center" wrapText="1"/>
    </xf>
    <xf numFmtId="0" fontId="0" fillId="17" borderId="9" xfId="0" applyFill="1" applyBorder="1" applyAlignment="1">
      <alignment horizontal="center" vertical="center" wrapText="1"/>
    </xf>
    <xf numFmtId="0" fontId="0" fillId="17" borderId="5" xfId="0" applyFill="1" applyBorder="1" applyAlignment="1">
      <alignment horizontal="center" vertical="center" wrapText="1"/>
    </xf>
    <xf numFmtId="0" fontId="0" fillId="17" borderId="10" xfId="0" applyFill="1" applyBorder="1" applyAlignment="1">
      <alignment horizontal="center" vertical="center" wrapText="1"/>
    </xf>
    <xf numFmtId="0" fontId="0" fillId="18" borderId="13" xfId="0" applyFill="1" applyBorder="1" applyAlignment="1">
      <alignment horizontal="center" vertical="center"/>
    </xf>
    <xf numFmtId="0" fontId="0" fillId="18" borderId="15" xfId="0" applyFill="1" applyBorder="1" applyAlignment="1">
      <alignment horizontal="center" vertical="center"/>
    </xf>
    <xf numFmtId="0" fontId="0" fillId="18" borderId="14" xfId="0" applyFill="1" applyBorder="1" applyAlignment="1">
      <alignment horizontal="center" vertical="center"/>
    </xf>
    <xf numFmtId="0" fontId="0" fillId="28" borderId="13" xfId="0" applyFill="1" applyBorder="1" applyAlignment="1">
      <alignment horizontal="center" vertical="center"/>
    </xf>
    <xf numFmtId="0" fontId="0" fillId="28" borderId="15" xfId="0" applyFill="1" applyBorder="1" applyAlignment="1">
      <alignment horizontal="center" vertical="center"/>
    </xf>
    <xf numFmtId="0" fontId="0" fillId="28" borderId="14" xfId="0" applyFill="1" applyBorder="1" applyAlignment="1">
      <alignment horizontal="center" vertical="center"/>
    </xf>
  </cellXfs>
  <cellStyles count="1">
    <cellStyle name="Normalny" xfId="0" builtinId="0"/>
  </cellStyles>
  <dxfs count="1">
    <dxf>
      <fill>
        <patternFill>
          <bgColor rgb="FFFF0000"/>
        </patternFill>
      </fill>
    </dxf>
  </dxfs>
  <tableStyles count="0" defaultTableStyle="TableStyleMedium9" defaultPivotStyle="PivotStyleMedium4"/>
  <colors>
    <mruColors>
      <color rgb="FFFF9966"/>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0" i="0" u="none" strike="noStrike" kern="1200" spc="0" baseline="0">
                <a:solidFill>
                  <a:sysClr val="windowText" lastClr="000000">
                    <a:lumMod val="65000"/>
                    <a:lumOff val="35000"/>
                  </a:sysClr>
                </a:solidFill>
              </a:rPr>
              <a:t>Długość 100 największych </a:t>
            </a:r>
          </a:p>
          <a:p>
            <a:pPr>
              <a:defRPr/>
            </a:pPr>
            <a:r>
              <a:rPr lang="pl-PL" sz="1400" b="0" i="0" u="none" strike="noStrike" kern="1200" spc="0" baseline="0">
                <a:solidFill>
                  <a:sysClr val="windowText" lastClr="000000">
                    <a:lumMod val="65000"/>
                    <a:lumOff val="35000"/>
                  </a:sysClr>
                </a:solidFill>
              </a:rPr>
              <a:t>albumów muzycznych 2023 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col"/>
        <c:grouping val="clustered"/>
        <c:varyColors val="0"/>
        <c:ser>
          <c:idx val="0"/>
          <c:order val="0"/>
          <c:tx>
            <c:strRef>
              <c:f>'Długość albumów'!$C$4</c:f>
              <c:strCache>
                <c:ptCount val="1"/>
                <c:pt idx="0">
                  <c:v>Ilość</c:v>
                </c:pt>
              </c:strCache>
            </c:strRef>
          </c:tx>
          <c:spPr>
            <a:solidFill>
              <a:schemeClr val="accent1"/>
            </a:solidFill>
            <a:ln>
              <a:noFill/>
            </a:ln>
            <a:effectLst/>
          </c:spPr>
          <c:invertIfNegative val="0"/>
          <c:cat>
            <c:strRef>
              <c:f>'Długość albumów'!$B$5:$B$14</c:f>
              <c:strCache>
                <c:ptCount val="10"/>
                <c:pt idx="0">
                  <c:v>[11-22]</c:v>
                </c:pt>
                <c:pt idx="1">
                  <c:v>(22-34]</c:v>
                </c:pt>
                <c:pt idx="2">
                  <c:v>(34-46]</c:v>
                </c:pt>
                <c:pt idx="3">
                  <c:v>(46-58]</c:v>
                </c:pt>
                <c:pt idx="4">
                  <c:v>(58-70]</c:v>
                </c:pt>
                <c:pt idx="5">
                  <c:v>(70-82]</c:v>
                </c:pt>
                <c:pt idx="6">
                  <c:v>(82-94]</c:v>
                </c:pt>
                <c:pt idx="7">
                  <c:v>(94-106]</c:v>
                </c:pt>
                <c:pt idx="8">
                  <c:v>(106-118]</c:v>
                </c:pt>
                <c:pt idx="9">
                  <c:v>(118-129]</c:v>
                </c:pt>
              </c:strCache>
            </c:strRef>
          </c:cat>
          <c:val>
            <c:numRef>
              <c:f>'Długość albumów'!$C$5:$C$14</c:f>
              <c:numCache>
                <c:formatCode>General</c:formatCode>
                <c:ptCount val="10"/>
                <c:pt idx="0">
                  <c:v>10</c:v>
                </c:pt>
                <c:pt idx="1">
                  <c:v>21</c:v>
                </c:pt>
                <c:pt idx="2">
                  <c:v>24</c:v>
                </c:pt>
                <c:pt idx="3">
                  <c:v>25</c:v>
                </c:pt>
                <c:pt idx="4">
                  <c:v>7</c:v>
                </c:pt>
                <c:pt idx="5">
                  <c:v>8</c:v>
                </c:pt>
                <c:pt idx="6">
                  <c:v>2</c:v>
                </c:pt>
                <c:pt idx="7">
                  <c:v>1</c:v>
                </c:pt>
                <c:pt idx="8">
                  <c:v>1</c:v>
                </c:pt>
                <c:pt idx="9">
                  <c:v>1</c:v>
                </c:pt>
              </c:numCache>
            </c:numRef>
          </c:val>
          <c:extLst>
            <c:ext xmlns:c16="http://schemas.microsoft.com/office/drawing/2014/chart" uri="{C3380CC4-5D6E-409C-BE32-E72D297353CC}">
              <c16:uniqueId val="{00000000-26B2-4F28-BE55-AB9532916653}"/>
            </c:ext>
          </c:extLst>
        </c:ser>
        <c:dLbls>
          <c:showLegendKey val="0"/>
          <c:showVal val="0"/>
          <c:showCatName val="0"/>
          <c:showSerName val="0"/>
          <c:showPercent val="0"/>
          <c:showBubbleSize val="0"/>
        </c:dLbls>
        <c:gapWidth val="0"/>
        <c:overlap val="-27"/>
        <c:axId val="1278597151"/>
        <c:axId val="1278593311"/>
      </c:barChart>
      <c:catAx>
        <c:axId val="127859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278593311"/>
        <c:crosses val="autoZero"/>
        <c:auto val="1"/>
        <c:lblAlgn val="ctr"/>
        <c:lblOffset val="100"/>
        <c:noMultiLvlLbl val="0"/>
      </c:catAx>
      <c:valAx>
        <c:axId val="127859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2785971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Długość</a:t>
            </a:r>
            <a:r>
              <a:rPr lang="pl-PL" baseline="0"/>
              <a:t> 100 największych </a:t>
            </a:r>
          </a:p>
          <a:p>
            <a:pPr>
              <a:defRPr/>
            </a:pPr>
            <a:r>
              <a:rPr lang="pl-PL" baseline="0"/>
              <a:t>albumów muzycznych 2023 r. (min)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manualLayout>
          <c:layoutTarget val="inner"/>
          <c:xMode val="edge"/>
          <c:yMode val="edge"/>
          <c:x val="0.10946667749005601"/>
          <c:y val="0.16479452054794522"/>
          <c:w val="0.87996861217090128"/>
          <c:h val="0.72507640312084276"/>
        </c:manualLayout>
      </c:layout>
      <c:barChart>
        <c:barDir val="col"/>
        <c:grouping val="clustered"/>
        <c:varyColors val="0"/>
        <c:ser>
          <c:idx val="0"/>
          <c:order val="0"/>
          <c:tx>
            <c:strRef>
              <c:f>'Długość albumów'!$C$23</c:f>
              <c:strCache>
                <c:ptCount val="1"/>
                <c:pt idx="0">
                  <c:v>Ilość</c:v>
                </c:pt>
              </c:strCache>
            </c:strRef>
          </c:tx>
          <c:spPr>
            <a:solidFill>
              <a:schemeClr val="accent1">
                <a:lumMod val="60000"/>
                <a:lumOff val="40000"/>
              </a:schemeClr>
            </a:solidFill>
            <a:ln>
              <a:solidFill>
                <a:schemeClr val="bg2">
                  <a:lumMod val="10000"/>
                </a:schemeClr>
              </a:solidFill>
            </a:ln>
            <a:effectLst/>
          </c:spPr>
          <c:invertIfNegative val="0"/>
          <c:cat>
            <c:strRef>
              <c:f>'Długość albumów'!$B$24:$B$30</c:f>
              <c:strCache>
                <c:ptCount val="7"/>
                <c:pt idx="0">
                  <c:v>[11-22]</c:v>
                </c:pt>
                <c:pt idx="1">
                  <c:v>(22-34]</c:v>
                </c:pt>
                <c:pt idx="2">
                  <c:v>(34-46]</c:v>
                </c:pt>
                <c:pt idx="3">
                  <c:v>(46-58]</c:v>
                </c:pt>
                <c:pt idx="4">
                  <c:v>(58-70]</c:v>
                </c:pt>
                <c:pt idx="5">
                  <c:v>(70-82]</c:v>
                </c:pt>
                <c:pt idx="6">
                  <c:v>(82-129]</c:v>
                </c:pt>
              </c:strCache>
            </c:strRef>
          </c:cat>
          <c:val>
            <c:numRef>
              <c:f>'Długość albumów'!$C$24:$C$30</c:f>
              <c:numCache>
                <c:formatCode>General</c:formatCode>
                <c:ptCount val="7"/>
                <c:pt idx="0">
                  <c:v>10</c:v>
                </c:pt>
                <c:pt idx="1">
                  <c:v>21</c:v>
                </c:pt>
                <c:pt idx="2">
                  <c:v>24</c:v>
                </c:pt>
                <c:pt idx="3">
                  <c:v>25</c:v>
                </c:pt>
                <c:pt idx="4">
                  <c:v>7</c:v>
                </c:pt>
                <c:pt idx="5">
                  <c:v>8</c:v>
                </c:pt>
                <c:pt idx="6">
                  <c:v>5</c:v>
                </c:pt>
              </c:numCache>
            </c:numRef>
          </c:val>
          <c:extLst>
            <c:ext xmlns:c16="http://schemas.microsoft.com/office/drawing/2014/chart" uri="{C3380CC4-5D6E-409C-BE32-E72D297353CC}">
              <c16:uniqueId val="{00000000-B638-4386-83EE-DE88DFA141F4}"/>
            </c:ext>
          </c:extLst>
        </c:ser>
        <c:dLbls>
          <c:showLegendKey val="0"/>
          <c:showVal val="0"/>
          <c:showCatName val="0"/>
          <c:showSerName val="0"/>
          <c:showPercent val="0"/>
          <c:showBubbleSize val="0"/>
        </c:dLbls>
        <c:gapWidth val="0"/>
        <c:overlap val="-27"/>
        <c:axId val="908226944"/>
        <c:axId val="908224064"/>
      </c:barChart>
      <c:catAx>
        <c:axId val="90822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908224064"/>
        <c:crosses val="autoZero"/>
        <c:auto val="1"/>
        <c:lblAlgn val="ctr"/>
        <c:lblOffset val="100"/>
        <c:noMultiLvlLbl val="0"/>
      </c:catAx>
      <c:valAx>
        <c:axId val="90822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908226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Wykres pudełkowy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col"/>
        <c:grouping val="stacked"/>
        <c:varyColors val="0"/>
        <c:ser>
          <c:idx val="0"/>
          <c:order val="0"/>
          <c:tx>
            <c:strRef>
              <c:f>'Długość albumów'!$V$11</c:f>
              <c:strCache>
                <c:ptCount val="1"/>
                <c:pt idx="0">
                  <c:v>Wartość minimalna</c:v>
                </c:pt>
              </c:strCache>
            </c:strRef>
          </c:tx>
          <c:spPr>
            <a:noFill/>
            <a:ln>
              <a:noFill/>
            </a:ln>
            <a:effectLst/>
          </c:spPr>
          <c:invertIfNegative val="0"/>
          <c:errBars>
            <c:errBarType val="plus"/>
            <c:errValType val="percentage"/>
            <c:noEndCap val="0"/>
            <c:val val="180"/>
            <c:spPr>
              <a:noFill/>
              <a:ln w="9525" cap="flat" cmpd="sng" algn="ctr">
                <a:solidFill>
                  <a:schemeClr val="tx1">
                    <a:lumMod val="65000"/>
                    <a:lumOff val="35000"/>
                  </a:schemeClr>
                </a:solidFill>
                <a:round/>
              </a:ln>
              <a:effectLst/>
            </c:spPr>
          </c:errBars>
          <c:val>
            <c:numRef>
              <c:f>'Długość albumów'!$W$11</c:f>
              <c:numCache>
                <c:formatCode>General</c:formatCode>
                <c:ptCount val="1"/>
                <c:pt idx="0">
                  <c:v>11</c:v>
                </c:pt>
              </c:numCache>
            </c:numRef>
          </c:val>
          <c:extLst>
            <c:ext xmlns:c16="http://schemas.microsoft.com/office/drawing/2014/chart" uri="{C3380CC4-5D6E-409C-BE32-E72D297353CC}">
              <c16:uniqueId val="{00000000-043F-4A97-8E08-03825200DE47}"/>
            </c:ext>
          </c:extLst>
        </c:ser>
        <c:ser>
          <c:idx val="1"/>
          <c:order val="1"/>
          <c:tx>
            <c:strRef>
              <c:f>'Długość albumów'!$V$12</c:f>
              <c:strCache>
                <c:ptCount val="1"/>
                <c:pt idx="0">
                  <c:v>Kwartyl 1</c:v>
                </c:pt>
              </c:strCache>
            </c:strRef>
          </c:tx>
          <c:spPr>
            <a:noFill/>
            <a:ln>
              <a:solidFill>
                <a:schemeClr val="tx1"/>
              </a:solidFill>
            </a:ln>
            <a:effectLst/>
          </c:spPr>
          <c:invertIfNegative val="0"/>
          <c:dPt>
            <c:idx val="0"/>
            <c:invertIfNegative val="0"/>
            <c:bubble3D val="0"/>
            <c:spPr>
              <a:noFill/>
              <a:ln>
                <a:noFill/>
              </a:ln>
              <a:effectLst/>
            </c:spPr>
            <c:extLst>
              <c:ext xmlns:c16="http://schemas.microsoft.com/office/drawing/2014/chart" uri="{C3380CC4-5D6E-409C-BE32-E72D297353CC}">
                <c16:uniqueId val="{00000006-043F-4A97-8E08-03825200DE47}"/>
              </c:ext>
            </c:extLst>
          </c:dPt>
          <c:val>
            <c:numRef>
              <c:f>'Długość albumów'!$W$12</c:f>
              <c:numCache>
                <c:formatCode>General</c:formatCode>
                <c:ptCount val="1"/>
                <c:pt idx="0">
                  <c:v>19.571428571428569</c:v>
                </c:pt>
              </c:numCache>
            </c:numRef>
          </c:val>
          <c:extLst>
            <c:ext xmlns:c16="http://schemas.microsoft.com/office/drawing/2014/chart" uri="{C3380CC4-5D6E-409C-BE32-E72D297353CC}">
              <c16:uniqueId val="{00000001-043F-4A97-8E08-03825200DE47}"/>
            </c:ext>
          </c:extLst>
        </c:ser>
        <c:ser>
          <c:idx val="2"/>
          <c:order val="2"/>
          <c:tx>
            <c:strRef>
              <c:f>'Długość albumów'!$V$13</c:f>
              <c:strCache>
                <c:ptCount val="1"/>
                <c:pt idx="0">
                  <c:v>Mediana</c:v>
                </c:pt>
              </c:strCache>
            </c:strRef>
          </c:tx>
          <c:spPr>
            <a:solidFill>
              <a:schemeClr val="accent1">
                <a:lumMod val="40000"/>
                <a:lumOff val="60000"/>
              </a:schemeClr>
            </a:solidFill>
            <a:ln>
              <a:solidFill>
                <a:schemeClr val="tx1">
                  <a:lumMod val="95000"/>
                  <a:lumOff val="5000"/>
                </a:schemeClr>
              </a:solidFill>
            </a:ln>
            <a:effectLst/>
          </c:spPr>
          <c:invertIfNegative val="0"/>
          <c:val>
            <c:numRef>
              <c:f>'Długość albumów'!$W$13</c:f>
              <c:numCache>
                <c:formatCode>General</c:formatCode>
                <c:ptCount val="1"/>
                <c:pt idx="0">
                  <c:v>12.928571428571431</c:v>
                </c:pt>
              </c:numCache>
            </c:numRef>
          </c:val>
          <c:extLst>
            <c:ext xmlns:c16="http://schemas.microsoft.com/office/drawing/2014/chart" uri="{C3380CC4-5D6E-409C-BE32-E72D297353CC}">
              <c16:uniqueId val="{00000002-043F-4A97-8E08-03825200DE47}"/>
            </c:ext>
          </c:extLst>
        </c:ser>
        <c:ser>
          <c:idx val="3"/>
          <c:order val="3"/>
          <c:tx>
            <c:strRef>
              <c:f>'Długość albumów'!$V$14</c:f>
              <c:strCache>
                <c:ptCount val="1"/>
                <c:pt idx="0">
                  <c:v>Kwartyl 3</c:v>
                </c:pt>
              </c:strCache>
            </c:strRef>
          </c:tx>
          <c:spPr>
            <a:solidFill>
              <a:schemeClr val="accent1">
                <a:lumMod val="40000"/>
                <a:lumOff val="60000"/>
              </a:schemeClr>
            </a:solidFill>
            <a:ln>
              <a:solidFill>
                <a:schemeClr val="tx1">
                  <a:lumMod val="95000"/>
                  <a:lumOff val="5000"/>
                </a:schemeClr>
              </a:solidFill>
            </a:ln>
            <a:effectLst/>
          </c:spPr>
          <c:invertIfNegative val="0"/>
          <c:val>
            <c:numRef>
              <c:f>'Długość albumów'!$W$14</c:f>
              <c:numCache>
                <c:formatCode>General</c:formatCode>
                <c:ptCount val="1"/>
                <c:pt idx="0">
                  <c:v>12.100000000000001</c:v>
                </c:pt>
              </c:numCache>
            </c:numRef>
          </c:val>
          <c:extLst>
            <c:ext xmlns:c16="http://schemas.microsoft.com/office/drawing/2014/chart" uri="{C3380CC4-5D6E-409C-BE32-E72D297353CC}">
              <c16:uniqueId val="{00000003-043F-4A97-8E08-03825200DE47}"/>
            </c:ext>
          </c:extLst>
        </c:ser>
        <c:ser>
          <c:idx val="4"/>
          <c:order val="4"/>
          <c:tx>
            <c:strRef>
              <c:f>'Długość albumów'!$V$15</c:f>
              <c:strCache>
                <c:ptCount val="1"/>
                <c:pt idx="0">
                  <c:v>Wartość maksymalna</c:v>
                </c:pt>
              </c:strCache>
            </c:strRef>
          </c:tx>
          <c:spPr>
            <a:noFill/>
            <a:ln w="6350" cap="rnd">
              <a:solidFill>
                <a:schemeClr val="tx1"/>
              </a:solidFill>
            </a:ln>
            <a:effectLst/>
          </c:spPr>
          <c:invertIfNegative val="0"/>
          <c:dPt>
            <c:idx val="0"/>
            <c:invertIfNegative val="0"/>
            <c:bubble3D val="0"/>
            <c:spPr>
              <a:noFill/>
              <a:ln w="9525">
                <a:noFill/>
              </a:ln>
              <a:effectLst/>
            </c:spPr>
            <c:extLst>
              <c:ext xmlns:c16="http://schemas.microsoft.com/office/drawing/2014/chart" uri="{C3380CC4-5D6E-409C-BE32-E72D297353CC}">
                <c16:uniqueId val="{00000005-043F-4A97-8E08-03825200DE47}"/>
              </c:ext>
            </c:extLst>
          </c:dPt>
          <c:errBars>
            <c:errBarType val="minus"/>
            <c:errValType val="percentage"/>
            <c:noEndCap val="0"/>
            <c:val val="100"/>
            <c:spPr>
              <a:noFill/>
              <a:ln w="9525" cap="rnd" cmpd="sng" algn="ctr">
                <a:solidFill>
                  <a:schemeClr val="tx1">
                    <a:lumMod val="65000"/>
                    <a:lumOff val="35000"/>
                  </a:schemeClr>
                </a:solidFill>
                <a:round/>
              </a:ln>
              <a:effectLst/>
            </c:spPr>
          </c:errBars>
          <c:val>
            <c:numRef>
              <c:f>'Długość albumów'!$W$15</c:f>
              <c:numCache>
                <c:formatCode>General</c:formatCode>
                <c:ptCount val="1"/>
                <c:pt idx="0">
                  <c:v>73.400000000000006</c:v>
                </c:pt>
              </c:numCache>
            </c:numRef>
          </c:val>
          <c:extLst>
            <c:ext xmlns:c16="http://schemas.microsoft.com/office/drawing/2014/chart" uri="{C3380CC4-5D6E-409C-BE32-E72D297353CC}">
              <c16:uniqueId val="{00000004-043F-4A97-8E08-03825200DE47}"/>
            </c:ext>
          </c:extLst>
        </c:ser>
        <c:dLbls>
          <c:showLegendKey val="0"/>
          <c:showVal val="0"/>
          <c:showCatName val="0"/>
          <c:showSerName val="0"/>
          <c:showPercent val="0"/>
          <c:showBubbleSize val="0"/>
        </c:dLbls>
        <c:gapWidth val="150"/>
        <c:overlap val="100"/>
        <c:axId val="1469367344"/>
        <c:axId val="1469366864"/>
      </c:barChart>
      <c:catAx>
        <c:axId val="1469367344"/>
        <c:scaling>
          <c:orientation val="minMax"/>
        </c:scaling>
        <c:delete val="1"/>
        <c:axPos val="b"/>
        <c:numFmt formatCode="General" sourceLinked="1"/>
        <c:majorTickMark val="none"/>
        <c:minorTickMark val="none"/>
        <c:tickLblPos val="nextTo"/>
        <c:crossAx val="1469366864"/>
        <c:crosses val="autoZero"/>
        <c:auto val="1"/>
        <c:lblAlgn val="ctr"/>
        <c:lblOffset val="100"/>
        <c:noMultiLvlLbl val="0"/>
      </c:catAx>
      <c:valAx>
        <c:axId val="146936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693673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Porównanie</a:t>
            </a:r>
            <a:r>
              <a:rPr lang="pl-PL" baseline="0"/>
              <a:t> wartośći nośników analogowych względem płyt kompaktowych w latach 1983-1999</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scatterChart>
        <c:scatterStyle val="lineMarker"/>
        <c:varyColors val="0"/>
        <c:ser>
          <c:idx val="0"/>
          <c:order val="0"/>
          <c:tx>
            <c:strRef>
              <c:f>'Analogi vs kompakty'!$C$1</c:f>
              <c:strCache>
                <c:ptCount val="1"/>
                <c:pt idx="0">
                  <c:v>Kompaktowe</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6.843604469089215E-2"/>
                  <c:y val="-0.2535198302463802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trendlineLbl>
          </c:trendline>
          <c:xVal>
            <c:numRef>
              <c:f>'Analogi vs kompakty'!$B$2:$B$18</c:f>
              <c:numCache>
                <c:formatCode>General</c:formatCode>
                <c:ptCount val="17"/>
                <c:pt idx="0">
                  <c:v>11531</c:v>
                </c:pt>
                <c:pt idx="1">
                  <c:v>12409.2</c:v>
                </c:pt>
                <c:pt idx="2">
                  <c:v>11250.7</c:v>
                </c:pt>
                <c:pt idx="3">
                  <c:v>10315.9</c:v>
                </c:pt>
                <c:pt idx="4">
                  <c:v>10649.599999999999</c:v>
                </c:pt>
                <c:pt idx="5">
                  <c:v>10702</c:v>
                </c:pt>
                <c:pt idx="6">
                  <c:v>9527</c:v>
                </c:pt>
                <c:pt idx="7">
                  <c:v>9118.2000000000007</c:v>
                </c:pt>
                <c:pt idx="8">
                  <c:v>7479.5</c:v>
                </c:pt>
                <c:pt idx="9">
                  <c:v>7590.2999999999993</c:v>
                </c:pt>
                <c:pt idx="10">
                  <c:v>6908.1999999999989</c:v>
                </c:pt>
                <c:pt idx="11">
                  <c:v>6818.3</c:v>
                </c:pt>
                <c:pt idx="12">
                  <c:v>5221.6999999999989</c:v>
                </c:pt>
                <c:pt idx="13">
                  <c:v>4231.3999999999996</c:v>
                </c:pt>
                <c:pt idx="14">
                  <c:v>3275</c:v>
                </c:pt>
                <c:pt idx="15">
                  <c:v>2942.4</c:v>
                </c:pt>
                <c:pt idx="16">
                  <c:v>2138.6</c:v>
                </c:pt>
              </c:numCache>
            </c:numRef>
          </c:xVal>
          <c:yVal>
            <c:numRef>
              <c:f>'Analogi vs kompakty'!$C$2:$C$18</c:f>
              <c:numCache>
                <c:formatCode>General</c:formatCode>
                <c:ptCount val="17"/>
                <c:pt idx="0">
                  <c:v>52.6</c:v>
                </c:pt>
                <c:pt idx="1">
                  <c:v>302.89999999999998</c:v>
                </c:pt>
                <c:pt idx="2">
                  <c:v>1103</c:v>
                </c:pt>
                <c:pt idx="3">
                  <c:v>2585.8000000000002</c:v>
                </c:pt>
                <c:pt idx="4">
                  <c:v>4274.3999999999996</c:v>
                </c:pt>
                <c:pt idx="5">
                  <c:v>5408.0999999999995</c:v>
                </c:pt>
                <c:pt idx="6">
                  <c:v>6642.3</c:v>
                </c:pt>
                <c:pt idx="7">
                  <c:v>8462.4</c:v>
                </c:pt>
                <c:pt idx="8">
                  <c:v>10046.900000000001</c:v>
                </c:pt>
                <c:pt idx="9">
                  <c:v>12007.699999999999</c:v>
                </c:pt>
                <c:pt idx="10">
                  <c:v>14276.8</c:v>
                </c:pt>
                <c:pt idx="11">
                  <c:v>17993.599999999999</c:v>
                </c:pt>
                <c:pt idx="12">
                  <c:v>19411</c:v>
                </c:pt>
                <c:pt idx="13">
                  <c:v>20109.3</c:v>
                </c:pt>
                <c:pt idx="14">
                  <c:v>19956.000000000004</c:v>
                </c:pt>
                <c:pt idx="15">
                  <c:v>22688.5</c:v>
                </c:pt>
                <c:pt idx="16">
                  <c:v>24536.1</c:v>
                </c:pt>
              </c:numCache>
            </c:numRef>
          </c:yVal>
          <c:smooth val="0"/>
          <c:extLst>
            <c:ext xmlns:c16="http://schemas.microsoft.com/office/drawing/2014/chart" uri="{C3380CC4-5D6E-409C-BE32-E72D297353CC}">
              <c16:uniqueId val="{00000000-AC66-41A3-ACB8-F3BFB76DBF0F}"/>
            </c:ext>
          </c:extLst>
        </c:ser>
        <c:dLbls>
          <c:showLegendKey val="0"/>
          <c:showVal val="0"/>
          <c:showCatName val="0"/>
          <c:showSerName val="0"/>
          <c:showPercent val="0"/>
          <c:showBubbleSize val="0"/>
        </c:dLbls>
        <c:axId val="1083186943"/>
        <c:axId val="1083158623"/>
      </c:scatterChart>
      <c:valAx>
        <c:axId val="1083186943"/>
        <c:scaling>
          <c:orientation val="minMax"/>
          <c:min val="2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083158623"/>
        <c:crosses val="autoZero"/>
        <c:crossBetween val="midCat"/>
      </c:valAx>
      <c:valAx>
        <c:axId val="1083158623"/>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0831869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lineChart>
        <c:grouping val="standard"/>
        <c:varyColors val="0"/>
        <c:ser>
          <c:idx val="0"/>
          <c:order val="0"/>
          <c:tx>
            <c:strRef>
              <c:f>'Analogi vs kompakty'!$C$1</c:f>
              <c:strCache>
                <c:ptCount val="1"/>
                <c:pt idx="0">
                  <c:v>Kompaktowe</c:v>
                </c:pt>
              </c:strCache>
            </c:strRef>
          </c:tx>
          <c:spPr>
            <a:ln w="28575" cap="rnd">
              <a:solidFill>
                <a:schemeClr val="accent1"/>
              </a:solidFill>
              <a:round/>
            </a:ln>
            <a:effectLst/>
          </c:spPr>
          <c:marker>
            <c:symbol val="none"/>
          </c:marker>
          <c:cat>
            <c:numRef>
              <c:f>'Analogi vs kompakty'!$A$2:$A$18</c:f>
              <c:numCache>
                <c:formatCode>General</c:formatCode>
                <c:ptCount val="17"/>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numCache>
            </c:numRef>
          </c:cat>
          <c:val>
            <c:numRef>
              <c:f>'Analogi vs kompakty'!$C$2:$C$18</c:f>
              <c:numCache>
                <c:formatCode>General</c:formatCode>
                <c:ptCount val="17"/>
                <c:pt idx="0">
                  <c:v>52.6</c:v>
                </c:pt>
                <c:pt idx="1">
                  <c:v>302.89999999999998</c:v>
                </c:pt>
                <c:pt idx="2">
                  <c:v>1103</c:v>
                </c:pt>
                <c:pt idx="3">
                  <c:v>2585.8000000000002</c:v>
                </c:pt>
                <c:pt idx="4">
                  <c:v>4274.3999999999996</c:v>
                </c:pt>
                <c:pt idx="5">
                  <c:v>5408.0999999999995</c:v>
                </c:pt>
                <c:pt idx="6">
                  <c:v>6642.3</c:v>
                </c:pt>
                <c:pt idx="7">
                  <c:v>8462.4</c:v>
                </c:pt>
                <c:pt idx="8">
                  <c:v>10046.900000000001</c:v>
                </c:pt>
                <c:pt idx="9">
                  <c:v>12007.699999999999</c:v>
                </c:pt>
                <c:pt idx="10">
                  <c:v>14276.8</c:v>
                </c:pt>
                <c:pt idx="11">
                  <c:v>17993.599999999999</c:v>
                </c:pt>
                <c:pt idx="12">
                  <c:v>19411</c:v>
                </c:pt>
                <c:pt idx="13">
                  <c:v>20109.3</c:v>
                </c:pt>
                <c:pt idx="14">
                  <c:v>19956.000000000004</c:v>
                </c:pt>
                <c:pt idx="15">
                  <c:v>22688.5</c:v>
                </c:pt>
                <c:pt idx="16">
                  <c:v>24536.1</c:v>
                </c:pt>
              </c:numCache>
            </c:numRef>
          </c:val>
          <c:smooth val="0"/>
          <c:extLst>
            <c:ext xmlns:c16="http://schemas.microsoft.com/office/drawing/2014/chart" uri="{C3380CC4-5D6E-409C-BE32-E72D297353CC}">
              <c16:uniqueId val="{00000000-F521-45BA-A7A0-8DB51692F718}"/>
            </c:ext>
          </c:extLst>
        </c:ser>
        <c:dLbls>
          <c:showLegendKey val="0"/>
          <c:showVal val="0"/>
          <c:showCatName val="0"/>
          <c:showSerName val="0"/>
          <c:showPercent val="0"/>
          <c:showBubbleSize val="0"/>
        </c:dLbls>
        <c:smooth val="0"/>
        <c:axId val="1096326704"/>
        <c:axId val="1096341104"/>
      </c:lineChart>
      <c:catAx>
        <c:axId val="109632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096341104"/>
        <c:crosses val="autoZero"/>
        <c:auto val="1"/>
        <c:lblAlgn val="ctr"/>
        <c:lblOffset val="100"/>
        <c:noMultiLvlLbl val="0"/>
      </c:catAx>
      <c:valAx>
        <c:axId val="109634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096326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518160</xdr:colOff>
      <xdr:row>3</xdr:row>
      <xdr:rowOff>136313</xdr:rowOff>
    </xdr:from>
    <xdr:to>
      <xdr:col>14</xdr:col>
      <xdr:colOff>152400</xdr:colOff>
      <xdr:row>17</xdr:row>
      <xdr:rowOff>29209</xdr:rowOff>
    </xdr:to>
    <xdr:graphicFrame macro="">
      <xdr:nvGraphicFramePr>
        <xdr:cNvPr id="3" name="Wykres 2">
          <a:extLst>
            <a:ext uri="{FF2B5EF4-FFF2-40B4-BE49-F238E27FC236}">
              <a16:creationId xmlns:a16="http://schemas.microsoft.com/office/drawing/2014/main" id="{4A6F2B9F-686D-C63D-C360-D8F0513F2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388620</xdr:colOff>
      <xdr:row>18</xdr:row>
      <xdr:rowOff>106680</xdr:rowOff>
    </xdr:from>
    <xdr:to>
      <xdr:col>12</xdr:col>
      <xdr:colOff>403860</xdr:colOff>
      <xdr:row>33</xdr:row>
      <xdr:rowOff>144780</xdr:rowOff>
    </xdr:to>
    <xdr:graphicFrame macro="">
      <xdr:nvGraphicFramePr>
        <xdr:cNvPr id="6" name="Wykres 5">
          <a:extLst>
            <a:ext uri="{FF2B5EF4-FFF2-40B4-BE49-F238E27FC236}">
              <a16:creationId xmlns:a16="http://schemas.microsoft.com/office/drawing/2014/main" id="{CC726D86-7206-2ED6-0D7B-2C65BC9C0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595016</xdr:colOff>
      <xdr:row>3</xdr:row>
      <xdr:rowOff>60960</xdr:rowOff>
    </xdr:from>
    <xdr:to>
      <xdr:col>23</xdr:col>
      <xdr:colOff>69659</xdr:colOff>
      <xdr:row>18</xdr:row>
      <xdr:rowOff>39139</xdr:rowOff>
    </xdr:to>
    <xdr:graphicFrame macro="">
      <xdr:nvGraphicFramePr>
        <xdr:cNvPr id="20" name="Wykres 19">
          <a:extLst>
            <a:ext uri="{FF2B5EF4-FFF2-40B4-BE49-F238E27FC236}">
              <a16:creationId xmlns:a16="http://schemas.microsoft.com/office/drawing/2014/main" id="{2F36C6AE-DDAD-8E5C-1056-4C3C98BC7F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600075</xdr:colOff>
      <xdr:row>14</xdr:row>
      <xdr:rowOff>95250</xdr:rowOff>
    </xdr:from>
    <xdr:to>
      <xdr:col>4</xdr:col>
      <xdr:colOff>609600</xdr:colOff>
      <xdr:row>20</xdr:row>
      <xdr:rowOff>142875</xdr:rowOff>
    </xdr:to>
    <xdr:cxnSp macro="">
      <xdr:nvCxnSpPr>
        <xdr:cNvPr id="4" name="Łącznik prosty ze strzałką 3">
          <a:extLst>
            <a:ext uri="{FF2B5EF4-FFF2-40B4-BE49-F238E27FC236}">
              <a16:creationId xmlns:a16="http://schemas.microsoft.com/office/drawing/2014/main" id="{8798593B-4DDA-85C4-D3B0-C73876B8B840}"/>
            </a:ext>
          </a:extLst>
        </xdr:cNvPr>
        <xdr:cNvCxnSpPr/>
      </xdr:nvCxnSpPr>
      <xdr:spPr>
        <a:xfrm flipH="1">
          <a:off x="3400425" y="3228975"/>
          <a:ext cx="9525" cy="11334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284018</xdr:colOff>
      <xdr:row>0</xdr:row>
      <xdr:rowOff>68234</xdr:rowOff>
    </xdr:from>
    <xdr:to>
      <xdr:col>16</xdr:col>
      <xdr:colOff>541866</xdr:colOff>
      <xdr:row>17</xdr:row>
      <xdr:rowOff>84667</xdr:rowOff>
    </xdr:to>
    <xdr:graphicFrame macro="">
      <xdr:nvGraphicFramePr>
        <xdr:cNvPr id="2" name="Wykres 1">
          <a:extLst>
            <a:ext uri="{FF2B5EF4-FFF2-40B4-BE49-F238E27FC236}">
              <a16:creationId xmlns:a16="http://schemas.microsoft.com/office/drawing/2014/main" id="{84CBE916-A1E7-904B-81C4-B60AA32BA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371475</xdr:colOff>
      <xdr:row>10</xdr:row>
      <xdr:rowOff>61912</xdr:rowOff>
    </xdr:from>
    <xdr:to>
      <xdr:col>38</xdr:col>
      <xdr:colOff>123825</xdr:colOff>
      <xdr:row>25</xdr:row>
      <xdr:rowOff>180974</xdr:rowOff>
    </xdr:to>
    <xdr:graphicFrame macro="">
      <xdr:nvGraphicFramePr>
        <xdr:cNvPr id="3" name="Wykres 2">
          <a:extLst>
            <a:ext uri="{FF2B5EF4-FFF2-40B4-BE49-F238E27FC236}">
              <a16:creationId xmlns:a16="http://schemas.microsoft.com/office/drawing/2014/main" id="{BB0DAC7C-4012-FF70-FA0D-82FAD8F476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F1C44-C703-457B-BD04-E9CD9ACC25A2}">
  <dimension ref="A1:X59"/>
  <sheetViews>
    <sheetView zoomScale="60" zoomScaleNormal="60" workbookViewId="0">
      <selection activeCell="B56" sqref="B56"/>
    </sheetView>
  </sheetViews>
  <sheetFormatPr defaultRowHeight="15" x14ac:dyDescent="0.25"/>
  <sheetData>
    <row r="1" spans="1:24" x14ac:dyDescent="0.25">
      <c r="A1" t="s">
        <v>174</v>
      </c>
      <c r="B1" t="s">
        <v>177</v>
      </c>
      <c r="C1" t="s">
        <v>178</v>
      </c>
      <c r="D1" t="s">
        <v>179</v>
      </c>
      <c r="E1" t="s">
        <v>180</v>
      </c>
      <c r="F1" t="s">
        <v>181</v>
      </c>
      <c r="G1" t="s">
        <v>182</v>
      </c>
      <c r="H1" s="43" t="s">
        <v>183</v>
      </c>
      <c r="I1" s="43" t="s">
        <v>184</v>
      </c>
      <c r="J1" s="43" t="s">
        <v>185</v>
      </c>
      <c r="K1" s="43" t="s">
        <v>186</v>
      </c>
      <c r="L1" s="43" t="s">
        <v>187</v>
      </c>
      <c r="M1" s="44" t="s">
        <v>188</v>
      </c>
      <c r="N1" s="44" t="s">
        <v>189</v>
      </c>
      <c r="O1" s="44" t="s">
        <v>190</v>
      </c>
      <c r="P1" s="44" t="s">
        <v>191</v>
      </c>
      <c r="Q1" t="s">
        <v>192</v>
      </c>
      <c r="R1" t="s">
        <v>193</v>
      </c>
      <c r="S1" t="s">
        <v>194</v>
      </c>
      <c r="T1" t="s">
        <v>195</v>
      </c>
      <c r="U1" t="s">
        <v>196</v>
      </c>
      <c r="V1" t="s">
        <v>197</v>
      </c>
      <c r="W1" t="s">
        <v>198</v>
      </c>
      <c r="X1" t="s">
        <v>199</v>
      </c>
    </row>
    <row r="2" spans="1:24" x14ac:dyDescent="0.25">
      <c r="A2">
        <v>1973</v>
      </c>
      <c r="B2">
        <v>3355.8</v>
      </c>
      <c r="C2">
        <v>521.6</v>
      </c>
      <c r="E2">
        <v>8550.9</v>
      </c>
      <c r="F2">
        <v>107.1</v>
      </c>
      <c r="G2">
        <v>1303.9000000000001</v>
      </c>
    </row>
    <row r="3" spans="1:24" x14ac:dyDescent="0.25">
      <c r="A3">
        <v>1974</v>
      </c>
      <c r="B3">
        <v>3394.4</v>
      </c>
      <c r="C3">
        <v>538.9</v>
      </c>
      <c r="E3">
        <v>8380.9</v>
      </c>
      <c r="F3">
        <v>82.2</v>
      </c>
      <c r="G3">
        <v>1199</v>
      </c>
    </row>
    <row r="4" spans="1:24" x14ac:dyDescent="0.25">
      <c r="A4">
        <v>1975</v>
      </c>
      <c r="B4">
        <v>3301.9</v>
      </c>
      <c r="C4">
        <v>559.6</v>
      </c>
      <c r="E4">
        <v>8410.5</v>
      </c>
      <c r="F4">
        <v>57.8</v>
      </c>
      <c r="G4">
        <v>1197.9000000000001</v>
      </c>
    </row>
    <row r="5" spans="1:24" x14ac:dyDescent="0.25">
      <c r="A5">
        <v>1976</v>
      </c>
      <c r="B5">
        <v>3631.8</v>
      </c>
      <c r="C5">
        <v>780.2</v>
      </c>
      <c r="E5">
        <v>8905.4</v>
      </c>
      <c r="F5">
        <v>27.3</v>
      </c>
      <c r="G5">
        <v>1312.5</v>
      </c>
    </row>
    <row r="6" spans="1:24" x14ac:dyDescent="0.25">
      <c r="A6">
        <v>1977</v>
      </c>
      <c r="B6">
        <v>4077.8</v>
      </c>
      <c r="C6">
        <v>1255</v>
      </c>
      <c r="E6">
        <v>11037.2</v>
      </c>
      <c r="G6">
        <v>1232.4000000000001</v>
      </c>
    </row>
    <row r="7" spans="1:24" x14ac:dyDescent="0.25">
      <c r="A7">
        <v>1978</v>
      </c>
      <c r="B7">
        <v>4430.3</v>
      </c>
      <c r="C7">
        <v>2102.1</v>
      </c>
      <c r="E7">
        <v>11558.6</v>
      </c>
      <c r="G7">
        <v>1216.5</v>
      </c>
    </row>
    <row r="8" spans="1:24" x14ac:dyDescent="0.25">
      <c r="A8">
        <v>1979</v>
      </c>
      <c r="B8">
        <v>2872</v>
      </c>
      <c r="C8">
        <v>2436.8000000000002</v>
      </c>
      <c r="E8">
        <v>8633.2000000000007</v>
      </c>
      <c r="G8">
        <v>1484.1</v>
      </c>
    </row>
    <row r="9" spans="1:24" x14ac:dyDescent="0.25">
      <c r="A9">
        <v>1980</v>
      </c>
      <c r="B9">
        <v>1948.8</v>
      </c>
      <c r="C9">
        <v>2607</v>
      </c>
      <c r="E9">
        <v>8135.2</v>
      </c>
      <c r="G9">
        <v>924.5</v>
      </c>
    </row>
    <row r="10" spans="1:24" x14ac:dyDescent="0.25">
      <c r="A10">
        <v>1981</v>
      </c>
      <c r="B10">
        <v>1049.2</v>
      </c>
      <c r="C10">
        <v>3562.6</v>
      </c>
      <c r="E10">
        <v>7849.5</v>
      </c>
      <c r="G10">
        <v>859.5</v>
      </c>
    </row>
    <row r="11" spans="1:24" x14ac:dyDescent="0.25">
      <c r="A11">
        <v>1982</v>
      </c>
      <c r="B11">
        <v>113.7</v>
      </c>
      <c r="C11">
        <v>4371.6000000000004</v>
      </c>
      <c r="E11">
        <v>6078.6</v>
      </c>
      <c r="G11">
        <v>893.6</v>
      </c>
    </row>
    <row r="12" spans="1:24" x14ac:dyDescent="0.25">
      <c r="A12">
        <v>1983</v>
      </c>
      <c r="C12">
        <v>5540</v>
      </c>
      <c r="E12">
        <v>5167.1000000000004</v>
      </c>
      <c r="G12">
        <v>823.9</v>
      </c>
      <c r="H12">
        <v>52.6</v>
      </c>
    </row>
    <row r="13" spans="1:24" x14ac:dyDescent="0.25">
      <c r="A13">
        <v>1984</v>
      </c>
      <c r="C13">
        <v>6991.1</v>
      </c>
      <c r="E13">
        <v>4542.1000000000004</v>
      </c>
      <c r="G13">
        <v>876</v>
      </c>
      <c r="H13">
        <v>302.89999999999998</v>
      </c>
    </row>
    <row r="14" spans="1:24" x14ac:dyDescent="0.25">
      <c r="A14">
        <v>1985</v>
      </c>
      <c r="C14">
        <v>6828.9</v>
      </c>
      <c r="E14">
        <v>3626.1</v>
      </c>
      <c r="G14">
        <v>795.7</v>
      </c>
      <c r="H14">
        <v>1103</v>
      </c>
    </row>
    <row r="15" spans="1:24" x14ac:dyDescent="0.25">
      <c r="A15">
        <v>1986</v>
      </c>
      <c r="C15">
        <v>6948.9</v>
      </c>
      <c r="E15">
        <v>2732.9</v>
      </c>
      <c r="G15">
        <v>634.1</v>
      </c>
      <c r="H15">
        <v>2585.8000000000002</v>
      </c>
    </row>
    <row r="16" spans="1:24" x14ac:dyDescent="0.25">
      <c r="A16">
        <v>1987</v>
      </c>
      <c r="C16">
        <v>7938.6</v>
      </c>
      <c r="D16">
        <v>38.4</v>
      </c>
      <c r="E16">
        <v>2127.3000000000002</v>
      </c>
      <c r="G16">
        <v>545.29999999999995</v>
      </c>
      <c r="H16">
        <v>4274.3999999999996</v>
      </c>
    </row>
    <row r="17" spans="1:12" x14ac:dyDescent="0.25">
      <c r="A17">
        <v>1988</v>
      </c>
      <c r="C17">
        <v>8718.9</v>
      </c>
      <c r="D17">
        <v>147.6</v>
      </c>
      <c r="E17">
        <v>1370.8</v>
      </c>
      <c r="G17">
        <v>464.7</v>
      </c>
      <c r="H17">
        <v>5382.9</v>
      </c>
      <c r="J17">
        <v>25.2</v>
      </c>
    </row>
    <row r="18" spans="1:12" x14ac:dyDescent="0.25">
      <c r="A18">
        <v>1989</v>
      </c>
      <c r="C18">
        <v>8221.5</v>
      </c>
      <c r="D18">
        <v>478.2</v>
      </c>
      <c r="E18">
        <v>541.29999999999995</v>
      </c>
      <c r="G18">
        <v>286</v>
      </c>
      <c r="H18">
        <v>6358.7</v>
      </c>
      <c r="L18">
        <v>283.60000000000002</v>
      </c>
    </row>
    <row r="19" spans="1:12" x14ac:dyDescent="0.25">
      <c r="A19">
        <v>1990</v>
      </c>
      <c r="C19">
        <v>8095.2</v>
      </c>
      <c r="D19">
        <v>601.20000000000005</v>
      </c>
      <c r="E19">
        <v>201.7</v>
      </c>
      <c r="G19">
        <v>220.1</v>
      </c>
      <c r="H19">
        <v>8046.7</v>
      </c>
      <c r="J19">
        <v>14</v>
      </c>
      <c r="L19">
        <v>401.7</v>
      </c>
    </row>
    <row r="20" spans="1:12" x14ac:dyDescent="0.25">
      <c r="A20">
        <v>1991</v>
      </c>
      <c r="C20">
        <v>6755.3</v>
      </c>
      <c r="D20">
        <v>515.4</v>
      </c>
      <c r="E20">
        <v>65.8</v>
      </c>
      <c r="G20">
        <v>143</v>
      </c>
      <c r="H20">
        <v>9704.2000000000007</v>
      </c>
      <c r="J20">
        <v>78.5</v>
      </c>
      <c r="L20">
        <v>264.2</v>
      </c>
    </row>
    <row r="21" spans="1:12" x14ac:dyDescent="0.25">
      <c r="A21">
        <v>1992</v>
      </c>
      <c r="C21">
        <v>6767.9</v>
      </c>
      <c r="D21">
        <v>648.9</v>
      </c>
      <c r="E21">
        <v>29.3</v>
      </c>
      <c r="G21">
        <v>144.19999999999999</v>
      </c>
      <c r="H21">
        <v>11568</v>
      </c>
      <c r="J21">
        <v>97.9</v>
      </c>
      <c r="L21">
        <v>341.8</v>
      </c>
    </row>
    <row r="22" spans="1:12" x14ac:dyDescent="0.25">
      <c r="A22">
        <v>1993</v>
      </c>
      <c r="C22">
        <v>6148.4</v>
      </c>
      <c r="D22">
        <v>629.4</v>
      </c>
      <c r="E22">
        <v>22.4</v>
      </c>
      <c r="G22">
        <v>108</v>
      </c>
      <c r="H22">
        <v>13730.4</v>
      </c>
      <c r="J22">
        <v>96.6</v>
      </c>
      <c r="L22">
        <v>449.8</v>
      </c>
    </row>
    <row r="23" spans="1:12" x14ac:dyDescent="0.25">
      <c r="A23">
        <v>1994</v>
      </c>
      <c r="C23">
        <v>6119.5</v>
      </c>
      <c r="D23">
        <v>565.20000000000005</v>
      </c>
      <c r="E23">
        <v>36.6</v>
      </c>
      <c r="G23">
        <v>97</v>
      </c>
      <c r="H23">
        <v>17403.2</v>
      </c>
      <c r="J23">
        <v>115.3</v>
      </c>
      <c r="L23">
        <v>475.1</v>
      </c>
    </row>
    <row r="24" spans="1:12" x14ac:dyDescent="0.25">
      <c r="A24">
        <v>1995</v>
      </c>
      <c r="C24">
        <v>4605.7</v>
      </c>
      <c r="D24">
        <v>472.4</v>
      </c>
      <c r="E24">
        <v>50.2</v>
      </c>
      <c r="G24">
        <v>93.4</v>
      </c>
      <c r="H24">
        <v>18748.8</v>
      </c>
      <c r="J24">
        <v>221.7</v>
      </c>
      <c r="L24">
        <v>440.5</v>
      </c>
    </row>
    <row r="25" spans="1:12" x14ac:dyDescent="0.25">
      <c r="A25">
        <v>1996</v>
      </c>
      <c r="C25">
        <v>3700.1</v>
      </c>
      <c r="D25">
        <v>367.6</v>
      </c>
      <c r="E25">
        <v>71.5</v>
      </c>
      <c r="G25">
        <v>92.2</v>
      </c>
      <c r="H25">
        <v>19293.3</v>
      </c>
      <c r="J25">
        <v>357.5</v>
      </c>
      <c r="L25">
        <v>458.5</v>
      </c>
    </row>
    <row r="26" spans="1:12" x14ac:dyDescent="0.25">
      <c r="A26">
        <v>1997</v>
      </c>
      <c r="C26">
        <v>2890.8</v>
      </c>
      <c r="D26">
        <v>253.4</v>
      </c>
      <c r="E26">
        <v>63.2</v>
      </c>
      <c r="G26">
        <v>67.599999999999994</v>
      </c>
      <c r="H26">
        <v>18823.400000000001</v>
      </c>
      <c r="J26">
        <v>517.70000000000005</v>
      </c>
      <c r="L26">
        <v>614.9</v>
      </c>
    </row>
    <row r="27" spans="1:12" x14ac:dyDescent="0.25">
      <c r="A27">
        <v>1998</v>
      </c>
      <c r="C27">
        <v>2654.3</v>
      </c>
      <c r="D27">
        <v>176.5</v>
      </c>
      <c r="E27">
        <v>63.6</v>
      </c>
      <c r="G27">
        <v>48</v>
      </c>
      <c r="H27">
        <v>21340.400000000001</v>
      </c>
      <c r="J27">
        <v>398.5</v>
      </c>
      <c r="L27">
        <v>949.6</v>
      </c>
    </row>
    <row r="28" spans="1:12" x14ac:dyDescent="0.25">
      <c r="A28">
        <v>1999</v>
      </c>
      <c r="C28">
        <v>1941.6</v>
      </c>
      <c r="D28">
        <v>87.8</v>
      </c>
      <c r="E28">
        <v>58.2</v>
      </c>
      <c r="G28">
        <v>51</v>
      </c>
      <c r="H28">
        <v>23440.3</v>
      </c>
      <c r="J28">
        <v>406.8</v>
      </c>
      <c r="L28">
        <v>689</v>
      </c>
    </row>
    <row r="29" spans="1:12" x14ac:dyDescent="0.25">
      <c r="A29">
        <v>2000</v>
      </c>
      <c r="C29">
        <v>1107.7</v>
      </c>
      <c r="D29">
        <v>8.1</v>
      </c>
      <c r="E29">
        <v>49</v>
      </c>
      <c r="G29">
        <v>46.5</v>
      </c>
      <c r="H29">
        <v>23382.6</v>
      </c>
      <c r="J29">
        <v>252.5</v>
      </c>
      <c r="L29">
        <v>498.8</v>
      </c>
    </row>
    <row r="30" spans="1:12" x14ac:dyDescent="0.25">
      <c r="A30">
        <v>2001</v>
      </c>
      <c r="C30">
        <v>625.20000000000005</v>
      </c>
      <c r="E30">
        <v>47.1</v>
      </c>
      <c r="G30">
        <v>54</v>
      </c>
      <c r="H30">
        <v>22210.7</v>
      </c>
      <c r="J30">
        <v>136.6</v>
      </c>
      <c r="K30">
        <v>10.3</v>
      </c>
      <c r="L30">
        <v>566.4</v>
      </c>
    </row>
    <row r="31" spans="1:12" x14ac:dyDescent="0.25">
      <c r="A31">
        <v>2002</v>
      </c>
      <c r="C31">
        <v>355.3</v>
      </c>
      <c r="E31">
        <v>34.700000000000003</v>
      </c>
      <c r="G31">
        <v>42.2</v>
      </c>
      <c r="H31">
        <v>20399.5</v>
      </c>
      <c r="J31">
        <v>33.200000000000003</v>
      </c>
      <c r="K31">
        <v>14.4</v>
      </c>
      <c r="L31">
        <v>488.5</v>
      </c>
    </row>
    <row r="32" spans="1:12" x14ac:dyDescent="0.25">
      <c r="A32">
        <v>2003</v>
      </c>
      <c r="C32">
        <v>179</v>
      </c>
      <c r="E32">
        <v>35.9</v>
      </c>
      <c r="G32">
        <v>35.6</v>
      </c>
      <c r="H32">
        <v>18601.599999999999</v>
      </c>
      <c r="I32">
        <v>43.6</v>
      </c>
      <c r="J32">
        <v>59.6</v>
      </c>
      <c r="K32">
        <v>13.2</v>
      </c>
      <c r="L32">
        <v>662.2</v>
      </c>
    </row>
    <row r="33" spans="1:24" x14ac:dyDescent="0.25">
      <c r="A33">
        <v>2004</v>
      </c>
      <c r="C33">
        <v>38.200000000000003</v>
      </c>
      <c r="E33">
        <v>31.1</v>
      </c>
      <c r="G33">
        <v>32.1</v>
      </c>
      <c r="H33">
        <v>18463.599999999999</v>
      </c>
      <c r="I33">
        <v>26.8</v>
      </c>
      <c r="J33">
        <v>24.2</v>
      </c>
      <c r="K33">
        <v>10.5</v>
      </c>
      <c r="L33">
        <v>979.4</v>
      </c>
      <c r="M33">
        <v>73.400000000000006</v>
      </c>
      <c r="O33">
        <v>222.6</v>
      </c>
      <c r="Q33">
        <v>11.1</v>
      </c>
    </row>
    <row r="34" spans="1:24" x14ac:dyDescent="0.25">
      <c r="A34">
        <v>2005</v>
      </c>
      <c r="C34">
        <v>20.399999999999999</v>
      </c>
      <c r="E34">
        <v>22.2</v>
      </c>
      <c r="G34">
        <v>20.6</v>
      </c>
      <c r="H34">
        <v>16413.3</v>
      </c>
      <c r="I34">
        <v>15.6</v>
      </c>
      <c r="J34">
        <v>17</v>
      </c>
      <c r="K34">
        <v>17.5</v>
      </c>
      <c r="L34">
        <v>939.5</v>
      </c>
      <c r="M34">
        <v>211.7</v>
      </c>
      <c r="N34">
        <v>5.8</v>
      </c>
      <c r="O34">
        <v>566.79999999999995</v>
      </c>
      <c r="P34">
        <v>657.8</v>
      </c>
      <c r="Q34">
        <v>31.8</v>
      </c>
      <c r="R34">
        <v>232.8</v>
      </c>
      <c r="X34">
        <v>1.6</v>
      </c>
    </row>
    <row r="35" spans="1:24" x14ac:dyDescent="0.25">
      <c r="A35">
        <v>2006</v>
      </c>
      <c r="C35">
        <v>5.6</v>
      </c>
      <c r="E35">
        <v>23.7</v>
      </c>
      <c r="G35">
        <v>15</v>
      </c>
      <c r="H35">
        <v>14165.9</v>
      </c>
      <c r="I35">
        <v>8.3000000000000007</v>
      </c>
      <c r="J35">
        <v>11.6</v>
      </c>
      <c r="K35">
        <v>3.6</v>
      </c>
      <c r="L35">
        <v>681.8</v>
      </c>
      <c r="M35">
        <v>417</v>
      </c>
      <c r="N35">
        <v>29.8</v>
      </c>
      <c r="O35">
        <v>877.5</v>
      </c>
      <c r="P35">
        <v>1169.5</v>
      </c>
      <c r="Q35">
        <v>49.6</v>
      </c>
      <c r="R35">
        <v>311.7</v>
      </c>
      <c r="X35">
        <v>2.9</v>
      </c>
    </row>
    <row r="36" spans="1:24" x14ac:dyDescent="0.25">
      <c r="A36">
        <v>2007</v>
      </c>
      <c r="C36">
        <v>4.4000000000000004</v>
      </c>
      <c r="E36">
        <v>33.700000000000003</v>
      </c>
      <c r="G36">
        <v>5.9</v>
      </c>
      <c r="H36">
        <v>10951.6</v>
      </c>
      <c r="I36">
        <v>5.3</v>
      </c>
      <c r="J36">
        <v>17.899999999999999</v>
      </c>
      <c r="K36">
        <v>4.0999999999999996</v>
      </c>
      <c r="L36">
        <v>712.6</v>
      </c>
      <c r="M36">
        <v>731</v>
      </c>
      <c r="N36">
        <v>41.4</v>
      </c>
      <c r="O36">
        <v>1191.8</v>
      </c>
      <c r="P36">
        <v>1551.6</v>
      </c>
      <c r="Q36">
        <v>53.2</v>
      </c>
      <c r="R36">
        <v>343.9</v>
      </c>
      <c r="X36">
        <v>3.8</v>
      </c>
    </row>
    <row r="37" spans="1:24" x14ac:dyDescent="0.25">
      <c r="A37">
        <v>2008</v>
      </c>
      <c r="C37">
        <v>1.3</v>
      </c>
      <c r="E37">
        <v>80.2</v>
      </c>
      <c r="G37">
        <v>4.0999999999999996</v>
      </c>
      <c r="H37">
        <v>7743.1</v>
      </c>
      <c r="I37">
        <v>4.4000000000000004</v>
      </c>
      <c r="J37">
        <v>5</v>
      </c>
      <c r="K37">
        <v>1.7</v>
      </c>
      <c r="L37">
        <v>321.7</v>
      </c>
      <c r="M37">
        <v>899.1</v>
      </c>
      <c r="N37">
        <v>58.4</v>
      </c>
      <c r="O37">
        <v>1460.8</v>
      </c>
      <c r="P37">
        <v>1382.8</v>
      </c>
      <c r="Q37">
        <v>141.5</v>
      </c>
      <c r="R37">
        <v>313.3</v>
      </c>
      <c r="X37">
        <v>3.7</v>
      </c>
    </row>
    <row r="38" spans="1:24" x14ac:dyDescent="0.25">
      <c r="A38">
        <v>2009</v>
      </c>
      <c r="E38">
        <v>90.6</v>
      </c>
      <c r="G38">
        <v>3.6</v>
      </c>
      <c r="H38">
        <v>6133.9</v>
      </c>
      <c r="I38">
        <v>3.4</v>
      </c>
      <c r="J38">
        <v>4.4000000000000004</v>
      </c>
      <c r="K38">
        <v>2.2999999999999998</v>
      </c>
      <c r="L38">
        <v>297.7</v>
      </c>
      <c r="M38">
        <v>1057.0999999999999</v>
      </c>
      <c r="N38">
        <v>58.1</v>
      </c>
      <c r="O38">
        <v>1664.6</v>
      </c>
      <c r="P38">
        <v>998.2</v>
      </c>
      <c r="Q38">
        <v>220.9</v>
      </c>
      <c r="R38">
        <v>292.89999999999998</v>
      </c>
      <c r="S38">
        <v>285.8</v>
      </c>
      <c r="X38">
        <v>8.9</v>
      </c>
    </row>
    <row r="39" spans="1:24" x14ac:dyDescent="0.25">
      <c r="A39">
        <v>2010</v>
      </c>
      <c r="E39">
        <v>124.2</v>
      </c>
      <c r="G39">
        <v>3.2</v>
      </c>
      <c r="H39">
        <v>4736.2</v>
      </c>
      <c r="I39">
        <v>2.4</v>
      </c>
      <c r="J39">
        <v>4.0999999999999996</v>
      </c>
      <c r="K39">
        <v>1.3</v>
      </c>
      <c r="L39">
        <v>248.2</v>
      </c>
      <c r="M39">
        <v>1219.0999999999999</v>
      </c>
      <c r="N39">
        <v>51.1</v>
      </c>
      <c r="O39">
        <v>1867.4</v>
      </c>
      <c r="P39">
        <v>626</v>
      </c>
      <c r="Q39">
        <v>348.2</v>
      </c>
      <c r="R39">
        <v>296.8</v>
      </c>
      <c r="S39">
        <v>263.7</v>
      </c>
      <c r="X39">
        <v>8.9</v>
      </c>
    </row>
    <row r="40" spans="1:24" x14ac:dyDescent="0.25">
      <c r="A40">
        <v>2011</v>
      </c>
      <c r="E40">
        <v>161.69999999999999</v>
      </c>
      <c r="G40">
        <v>6.2</v>
      </c>
      <c r="H40">
        <v>4200.2</v>
      </c>
      <c r="I40">
        <v>2</v>
      </c>
      <c r="J40">
        <v>4.7</v>
      </c>
      <c r="K40">
        <v>0.4</v>
      </c>
      <c r="L40">
        <v>204.5</v>
      </c>
      <c r="M40">
        <v>1450.5</v>
      </c>
      <c r="N40">
        <v>43.9</v>
      </c>
      <c r="O40">
        <v>2062.1999999999998</v>
      </c>
      <c r="P40">
        <v>374.1</v>
      </c>
      <c r="Q40">
        <v>395.5</v>
      </c>
      <c r="R40">
        <v>335.7</v>
      </c>
      <c r="S40">
        <v>266.2</v>
      </c>
      <c r="V40">
        <v>154.19999999999999</v>
      </c>
      <c r="X40">
        <v>3.7</v>
      </c>
    </row>
    <row r="41" spans="1:24" x14ac:dyDescent="0.25">
      <c r="A41">
        <v>2012</v>
      </c>
      <c r="E41">
        <v>213.3</v>
      </c>
      <c r="G41">
        <v>6.3</v>
      </c>
      <c r="H41">
        <v>3298.7</v>
      </c>
      <c r="I41">
        <v>1.8</v>
      </c>
      <c r="J41">
        <v>4.3</v>
      </c>
      <c r="K41">
        <v>0.2</v>
      </c>
      <c r="L41">
        <v>154.80000000000001</v>
      </c>
      <c r="M41">
        <v>1599</v>
      </c>
      <c r="N41">
        <v>27.7</v>
      </c>
      <c r="O41">
        <v>2182.6</v>
      </c>
      <c r="P41">
        <v>193.8</v>
      </c>
      <c r="Q41">
        <v>613.1</v>
      </c>
      <c r="R41">
        <v>530.70000000000005</v>
      </c>
      <c r="S41">
        <v>252.9</v>
      </c>
      <c r="V41">
        <v>226.9</v>
      </c>
      <c r="X41">
        <v>4.8</v>
      </c>
    </row>
    <row r="42" spans="1:24" x14ac:dyDescent="0.25">
      <c r="A42">
        <v>2013</v>
      </c>
      <c r="E42">
        <v>275.60000000000002</v>
      </c>
      <c r="G42">
        <v>3.9</v>
      </c>
      <c r="H42">
        <v>2800.3</v>
      </c>
      <c r="I42">
        <v>1.3</v>
      </c>
      <c r="J42">
        <v>3.2</v>
      </c>
      <c r="L42">
        <v>139</v>
      </c>
      <c r="M42">
        <v>1611.6</v>
      </c>
      <c r="N42">
        <v>21.9</v>
      </c>
      <c r="O42">
        <v>2058</v>
      </c>
      <c r="P42">
        <v>128.19999999999999</v>
      </c>
      <c r="Q42">
        <v>772.2</v>
      </c>
      <c r="R42">
        <v>841.5</v>
      </c>
      <c r="S42">
        <v>248.1</v>
      </c>
      <c r="V42">
        <v>288.89999999999998</v>
      </c>
      <c r="X42">
        <v>8.1</v>
      </c>
    </row>
    <row r="43" spans="1:24" x14ac:dyDescent="0.25">
      <c r="A43">
        <v>2014</v>
      </c>
      <c r="E43">
        <v>313.89999999999998</v>
      </c>
      <c r="G43">
        <v>7.1</v>
      </c>
      <c r="H43">
        <v>2286.1999999999998</v>
      </c>
      <c r="I43">
        <v>1</v>
      </c>
      <c r="J43">
        <v>4.7</v>
      </c>
      <c r="K43">
        <v>2.8</v>
      </c>
      <c r="L43">
        <v>115.5</v>
      </c>
      <c r="M43">
        <v>1438.8</v>
      </c>
      <c r="N43">
        <v>17.5</v>
      </c>
      <c r="O43">
        <v>1744.4</v>
      </c>
      <c r="P43">
        <v>85.3</v>
      </c>
      <c r="Q43">
        <v>995.4</v>
      </c>
      <c r="R43">
        <v>991.4</v>
      </c>
      <c r="S43">
        <v>244.2</v>
      </c>
      <c r="V43">
        <v>365.3</v>
      </c>
      <c r="X43">
        <v>3.3</v>
      </c>
    </row>
    <row r="44" spans="1:24" x14ac:dyDescent="0.25">
      <c r="A44">
        <v>2015</v>
      </c>
      <c r="E44">
        <v>428.6</v>
      </c>
      <c r="G44">
        <v>7.4</v>
      </c>
      <c r="H44">
        <v>1857.6</v>
      </c>
      <c r="I44">
        <v>1.3</v>
      </c>
      <c r="J44">
        <v>1.5</v>
      </c>
      <c r="K44">
        <v>7</v>
      </c>
      <c r="L44">
        <v>90.5</v>
      </c>
      <c r="M44">
        <v>1368.4</v>
      </c>
      <c r="N44">
        <v>8.1999999999999993</v>
      </c>
      <c r="O44">
        <v>1523.7</v>
      </c>
      <c r="P44">
        <v>70.2</v>
      </c>
      <c r="Q44">
        <v>1031.8</v>
      </c>
      <c r="R44">
        <v>1487</v>
      </c>
      <c r="S44">
        <v>260.89999999999998</v>
      </c>
      <c r="V44">
        <v>478.2</v>
      </c>
      <c r="X44">
        <v>4.8</v>
      </c>
    </row>
    <row r="45" spans="1:24" x14ac:dyDescent="0.25">
      <c r="A45">
        <v>2016</v>
      </c>
      <c r="E45">
        <v>451.2</v>
      </c>
      <c r="G45">
        <v>6.2</v>
      </c>
      <c r="H45">
        <v>1435.6</v>
      </c>
      <c r="I45">
        <v>1.5</v>
      </c>
      <c r="J45">
        <v>0.3</v>
      </c>
      <c r="K45">
        <v>3.6</v>
      </c>
      <c r="L45">
        <v>72.3</v>
      </c>
      <c r="M45">
        <v>1102.7</v>
      </c>
      <c r="N45">
        <v>5.4</v>
      </c>
      <c r="O45">
        <v>1142.8</v>
      </c>
      <c r="P45">
        <v>71.5</v>
      </c>
      <c r="Q45">
        <v>1122.2</v>
      </c>
      <c r="R45">
        <v>2775.8</v>
      </c>
      <c r="S45">
        <v>272.7</v>
      </c>
      <c r="T45">
        <v>21.8</v>
      </c>
      <c r="U45">
        <v>89.7</v>
      </c>
      <c r="V45">
        <v>605.29999999999995</v>
      </c>
      <c r="W45">
        <v>326.60000000000002</v>
      </c>
      <c r="X45">
        <v>3.7</v>
      </c>
    </row>
    <row r="46" spans="1:24" x14ac:dyDescent="0.25">
      <c r="A46">
        <v>2017</v>
      </c>
      <c r="E46">
        <v>482.9</v>
      </c>
      <c r="G46">
        <v>7.6</v>
      </c>
      <c r="H46">
        <v>1297.7</v>
      </c>
      <c r="I46">
        <v>1.1000000000000001</v>
      </c>
      <c r="J46">
        <v>0.2</v>
      </c>
      <c r="K46">
        <v>0.4</v>
      </c>
      <c r="L46">
        <v>46.6</v>
      </c>
      <c r="M46">
        <v>807.7</v>
      </c>
      <c r="N46">
        <v>3.5</v>
      </c>
      <c r="O46">
        <v>830.2</v>
      </c>
      <c r="P46">
        <v>44.1</v>
      </c>
      <c r="Q46">
        <v>810.5</v>
      </c>
      <c r="R46">
        <v>4176.3999999999996</v>
      </c>
      <c r="S46">
        <v>288.5</v>
      </c>
      <c r="T46">
        <v>21</v>
      </c>
      <c r="U46">
        <v>278.39999999999998</v>
      </c>
      <c r="V46">
        <v>763.6</v>
      </c>
      <c r="W46">
        <v>707</v>
      </c>
      <c r="X46">
        <v>2.8</v>
      </c>
    </row>
    <row r="47" spans="1:24" x14ac:dyDescent="0.25">
      <c r="A47">
        <v>2018</v>
      </c>
      <c r="E47">
        <v>508.7</v>
      </c>
      <c r="G47">
        <v>6.9</v>
      </c>
      <c r="H47">
        <v>844.3</v>
      </c>
      <c r="I47">
        <v>1</v>
      </c>
      <c r="J47">
        <v>0</v>
      </c>
      <c r="K47">
        <v>0.4</v>
      </c>
      <c r="L47">
        <v>34.5</v>
      </c>
      <c r="M47">
        <v>601</v>
      </c>
      <c r="N47">
        <v>2.7</v>
      </c>
      <c r="O47">
        <v>594.4</v>
      </c>
      <c r="P47">
        <v>30.3</v>
      </c>
      <c r="Q47">
        <v>1156.2</v>
      </c>
      <c r="R47">
        <v>5598.8</v>
      </c>
      <c r="S47">
        <v>346.5</v>
      </c>
      <c r="T47">
        <v>24.1</v>
      </c>
      <c r="U47">
        <v>252.6</v>
      </c>
      <c r="V47">
        <v>913.3</v>
      </c>
      <c r="W47">
        <v>898.6</v>
      </c>
      <c r="X47">
        <v>2.4</v>
      </c>
    </row>
    <row r="48" spans="1:24" x14ac:dyDescent="0.25">
      <c r="A48">
        <v>2019</v>
      </c>
      <c r="E48">
        <v>614.4</v>
      </c>
      <c r="G48">
        <v>8</v>
      </c>
      <c r="H48">
        <v>758.8</v>
      </c>
      <c r="I48">
        <v>0.5</v>
      </c>
      <c r="J48">
        <v>0.1</v>
      </c>
      <c r="K48">
        <v>1.5</v>
      </c>
      <c r="L48">
        <v>31.7</v>
      </c>
      <c r="M48">
        <v>439.2</v>
      </c>
      <c r="N48">
        <v>2.2000000000000002</v>
      </c>
      <c r="O48">
        <v>480.3</v>
      </c>
      <c r="P48">
        <v>24.6</v>
      </c>
      <c r="Q48">
        <v>1082.4000000000001</v>
      </c>
      <c r="R48">
        <v>7239.9</v>
      </c>
      <c r="S48">
        <v>335</v>
      </c>
      <c r="T48">
        <v>25.6</v>
      </c>
      <c r="U48">
        <v>247.1</v>
      </c>
      <c r="V48">
        <v>1199.7</v>
      </c>
      <c r="W48">
        <v>755.8</v>
      </c>
      <c r="X48">
        <v>1.9</v>
      </c>
    </row>
    <row r="49" spans="1:24" x14ac:dyDescent="0.25">
      <c r="A49">
        <v>2020</v>
      </c>
      <c r="E49">
        <v>819.8</v>
      </c>
      <c r="G49">
        <v>7.4</v>
      </c>
      <c r="H49">
        <v>557.9</v>
      </c>
      <c r="I49">
        <v>0.3</v>
      </c>
      <c r="J49">
        <v>0.4</v>
      </c>
      <c r="K49">
        <v>2.2000000000000002</v>
      </c>
      <c r="L49">
        <v>32.299999999999997</v>
      </c>
      <c r="M49">
        <v>375.9</v>
      </c>
      <c r="N49">
        <v>2.1</v>
      </c>
      <c r="O49">
        <v>365.4</v>
      </c>
      <c r="P49">
        <v>23.8</v>
      </c>
      <c r="Q49">
        <v>1115.4000000000001</v>
      </c>
      <c r="R49">
        <v>8184.8</v>
      </c>
      <c r="S49">
        <v>312.3</v>
      </c>
      <c r="T49">
        <v>22.2</v>
      </c>
      <c r="U49">
        <v>248.7</v>
      </c>
      <c r="V49">
        <v>1408.8</v>
      </c>
      <c r="W49">
        <v>845.2</v>
      </c>
      <c r="X49">
        <v>1.4</v>
      </c>
    </row>
    <row r="50" spans="1:24" x14ac:dyDescent="0.25">
      <c r="A50">
        <v>2021</v>
      </c>
      <c r="E50">
        <v>1221.5</v>
      </c>
      <c r="G50">
        <v>8.9</v>
      </c>
      <c r="H50">
        <v>658.7</v>
      </c>
      <c r="I50">
        <v>0.2</v>
      </c>
      <c r="J50">
        <v>0.1</v>
      </c>
      <c r="K50">
        <v>6.5</v>
      </c>
      <c r="L50">
        <v>22.4</v>
      </c>
      <c r="M50">
        <v>341</v>
      </c>
      <c r="N50">
        <v>2.2000000000000002</v>
      </c>
      <c r="O50">
        <v>302.39999999999998</v>
      </c>
      <c r="P50">
        <v>17.600000000000001</v>
      </c>
      <c r="Q50">
        <v>1116.0999999999999</v>
      </c>
      <c r="R50">
        <v>9628.7999999999993</v>
      </c>
      <c r="S50">
        <v>344.7</v>
      </c>
      <c r="T50">
        <v>35</v>
      </c>
      <c r="U50">
        <v>228.8</v>
      </c>
      <c r="V50">
        <v>1949.2</v>
      </c>
      <c r="W50">
        <v>1008.7</v>
      </c>
      <c r="X50">
        <v>0.8</v>
      </c>
    </row>
    <row r="51" spans="1:24" x14ac:dyDescent="0.25">
      <c r="A51">
        <v>2022</v>
      </c>
      <c r="E51">
        <v>1274.8</v>
      </c>
      <c r="G51">
        <v>5.8</v>
      </c>
      <c r="H51">
        <v>502.4</v>
      </c>
      <c r="I51">
        <v>0.2</v>
      </c>
      <c r="J51">
        <v>7.1</v>
      </c>
      <c r="K51">
        <v>0.1</v>
      </c>
      <c r="L51">
        <v>11.8</v>
      </c>
      <c r="M51">
        <v>251.8</v>
      </c>
      <c r="N51">
        <v>1.4</v>
      </c>
      <c r="O51">
        <v>223</v>
      </c>
      <c r="P51">
        <v>11.5</v>
      </c>
      <c r="Q51">
        <v>998.9</v>
      </c>
      <c r="R51">
        <v>9556.9</v>
      </c>
      <c r="S51">
        <v>398.2</v>
      </c>
      <c r="T51">
        <v>27</v>
      </c>
      <c r="U51">
        <v>272.2</v>
      </c>
      <c r="V51">
        <v>1897.1</v>
      </c>
      <c r="W51">
        <v>1106.8</v>
      </c>
      <c r="X51">
        <v>0.4</v>
      </c>
    </row>
    <row r="52" spans="1:24" x14ac:dyDescent="0.25">
      <c r="A52">
        <v>2023</v>
      </c>
      <c r="E52">
        <v>1350.2</v>
      </c>
      <c r="G52">
        <v>8.4</v>
      </c>
      <c r="H52">
        <v>537.1</v>
      </c>
      <c r="L52">
        <v>10.7</v>
      </c>
      <c r="M52">
        <v>204.7</v>
      </c>
      <c r="O52">
        <v>190.8</v>
      </c>
      <c r="P52">
        <v>10.5</v>
      </c>
      <c r="Q52">
        <v>1004.8</v>
      </c>
      <c r="R52">
        <v>10149.700000000001</v>
      </c>
      <c r="S52">
        <v>410.9</v>
      </c>
      <c r="T52">
        <v>28.1</v>
      </c>
      <c r="U52">
        <v>317.7</v>
      </c>
      <c r="V52">
        <v>1864.5</v>
      </c>
      <c r="W52">
        <v>1021.4</v>
      </c>
    </row>
    <row r="54" spans="1:24" x14ac:dyDescent="0.25">
      <c r="B54">
        <f>SUM(B32:G32)</f>
        <v>250.5</v>
      </c>
    </row>
    <row r="55" spans="1:24" x14ac:dyDescent="0.25">
      <c r="B55">
        <f>SUM(B33:G33)</f>
        <v>101.4</v>
      </c>
    </row>
    <row r="56" spans="1:24" x14ac:dyDescent="0.25">
      <c r="B56">
        <f t="shared" ref="B56:B59" si="0">SUM(B34:G34)</f>
        <v>63.199999999999996</v>
      </c>
    </row>
    <row r="57" spans="1:24" x14ac:dyDescent="0.25">
      <c r="B57">
        <f t="shared" si="0"/>
        <v>44.3</v>
      </c>
    </row>
    <row r="58" spans="1:24" x14ac:dyDescent="0.25">
      <c r="B58">
        <f t="shared" si="0"/>
        <v>44</v>
      </c>
    </row>
    <row r="59" spans="1:24" x14ac:dyDescent="0.25">
      <c r="B59">
        <f t="shared" si="0"/>
        <v>85.6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9261C-B734-4D40-B251-3545E3DC2B9F}">
  <dimension ref="A1:S23"/>
  <sheetViews>
    <sheetView topLeftCell="B1" workbookViewId="0">
      <selection activeCell="I10" sqref="I10"/>
    </sheetView>
  </sheetViews>
  <sheetFormatPr defaultRowHeight="15" x14ac:dyDescent="0.25"/>
  <cols>
    <col min="2" max="2" width="4.7109375" bestFit="1" customWidth="1"/>
    <col min="3" max="3" width="14.7109375" bestFit="1" customWidth="1"/>
    <col min="10" max="11" width="11" bestFit="1" customWidth="1"/>
    <col min="18" max="18" width="11.7109375" bestFit="1" customWidth="1"/>
    <col min="19" max="19" width="11" bestFit="1" customWidth="1"/>
  </cols>
  <sheetData>
    <row r="1" spans="1:19" x14ac:dyDescent="0.25">
      <c r="A1" t="str">
        <f>'Długość albumów'!B23</f>
        <v>Długość w minutach</v>
      </c>
      <c r="B1" t="str">
        <f>'Długość albumów'!C23</f>
        <v>Ilość</v>
      </c>
      <c r="C1" s="10" t="s">
        <v>138</v>
      </c>
      <c r="D1" s="10" t="s">
        <v>139</v>
      </c>
      <c r="E1" s="10" t="s">
        <v>152</v>
      </c>
      <c r="F1" s="10" t="s">
        <v>153</v>
      </c>
      <c r="G1" s="10" t="s">
        <v>168</v>
      </c>
      <c r="H1" s="10" t="s">
        <v>167</v>
      </c>
      <c r="I1" s="10" t="s">
        <v>168</v>
      </c>
      <c r="J1" s="10" t="s">
        <v>171</v>
      </c>
      <c r="K1" s="10" t="s">
        <v>168</v>
      </c>
      <c r="N1" s="10" t="s">
        <v>175</v>
      </c>
      <c r="O1" s="10" t="s">
        <v>176</v>
      </c>
      <c r="P1" s="10" t="s">
        <v>152</v>
      </c>
      <c r="Q1" s="10" t="s">
        <v>205</v>
      </c>
      <c r="R1" s="10" t="s">
        <v>206</v>
      </c>
      <c r="S1" s="10" t="s">
        <v>208</v>
      </c>
    </row>
    <row r="2" spans="1:19" x14ac:dyDescent="0.25">
      <c r="A2" t="str">
        <f>'Długość albumów'!B24</f>
        <v>[11-22]</v>
      </c>
      <c r="B2">
        <f>'Długość albumów'!C24</f>
        <v>10</v>
      </c>
      <c r="C2">
        <v>16.5</v>
      </c>
      <c r="D2">
        <f>C2*B2</f>
        <v>165</v>
      </c>
      <c r="E2">
        <f>C2-D$13</f>
        <v>-29.465000000000003</v>
      </c>
      <c r="F2">
        <f>E2^2</f>
        <v>868.18622500000015</v>
      </c>
      <c r="G2">
        <f>F2*B2</f>
        <v>8681.8622500000019</v>
      </c>
      <c r="H2">
        <f>E2*E2*E2</f>
        <v>-25581.107119625009</v>
      </c>
      <c r="I2">
        <f>H2*B2</f>
        <v>-255811.07119625009</v>
      </c>
      <c r="J2">
        <f>F2^2</f>
        <v>753747.3212797509</v>
      </c>
      <c r="K2">
        <f>J2*B2</f>
        <v>7537473.2127975095</v>
      </c>
      <c r="M2">
        <f>'Dane do korelacji'!A12</f>
        <v>1983</v>
      </c>
      <c r="N2">
        <f>SUM('Dane do korelacji'!B12:G12)</f>
        <v>11531</v>
      </c>
      <c r="O2">
        <f>SUM('Dane do korelacji'!H12:L12)</f>
        <v>52.6</v>
      </c>
      <c r="P2">
        <f>N2-N$20</f>
        <v>3759.8823529411784</v>
      </c>
      <c r="Q2">
        <f>O2-O$20</f>
        <v>-11115.482352941177</v>
      </c>
      <c r="R2">
        <f>P2*Q2</f>
        <v>-41792905.943252616</v>
      </c>
      <c r="S2">
        <f>P2^2</f>
        <v>14136715.307958491</v>
      </c>
    </row>
    <row r="3" spans="1:19" x14ac:dyDescent="0.25">
      <c r="A3" t="str">
        <f>'Długość albumów'!B25</f>
        <v>(22-34]</v>
      </c>
      <c r="B3">
        <f>'Długość albumów'!C25</f>
        <v>21</v>
      </c>
      <c r="C3">
        <v>28</v>
      </c>
      <c r="D3">
        <f t="shared" ref="D3:D8" si="0">C3*B3</f>
        <v>588</v>
      </c>
      <c r="E3">
        <f t="shared" ref="E3:E8" si="1">C3-D$13</f>
        <v>-17.965000000000003</v>
      </c>
      <c r="F3">
        <f t="shared" ref="F3:F8" si="2">E3^2</f>
        <v>322.7412250000001</v>
      </c>
      <c r="G3">
        <f>F3*B3</f>
        <v>6777.5657250000022</v>
      </c>
      <c r="H3">
        <f>E3*E3*E3</f>
        <v>-5798.0461071250029</v>
      </c>
      <c r="I3">
        <f>H3*B3</f>
        <v>-121758.96824962506</v>
      </c>
      <c r="J3">
        <f t="shared" ref="J3:J8" si="3">F3^2</f>
        <v>104161.89831450069</v>
      </c>
      <c r="K3">
        <f t="shared" ref="K3:K8" si="4">J3*B3</f>
        <v>2187399.8646045146</v>
      </c>
      <c r="M3">
        <f>'Dane do korelacji'!A13</f>
        <v>1984</v>
      </c>
      <c r="N3">
        <f>SUM('Dane do korelacji'!B13:G13)</f>
        <v>12409.2</v>
      </c>
      <c r="O3">
        <f>SUM('Dane do korelacji'!H13:L13)</f>
        <v>302.89999999999998</v>
      </c>
      <c r="P3">
        <f t="shared" ref="P3:Q18" si="5">N3-N$20</f>
        <v>4638.0823529411791</v>
      </c>
      <c r="Q3">
        <f t="shared" si="5"/>
        <v>-10865.182352941178</v>
      </c>
      <c r="R3">
        <f t="shared" ref="R3:R18" si="6">P3*Q3</f>
        <v>-50393610.532664396</v>
      </c>
      <c r="S3">
        <f t="shared" ref="S3:S18" si="7">P3^2</f>
        <v>21511807.912664384</v>
      </c>
    </row>
    <row r="4" spans="1:19" x14ac:dyDescent="0.25">
      <c r="A4" t="str">
        <f>'Długość albumów'!B26</f>
        <v>(34-46]</v>
      </c>
      <c r="B4">
        <f>'Długość albumów'!C26</f>
        <v>24</v>
      </c>
      <c r="C4">
        <v>40</v>
      </c>
      <c r="D4">
        <f t="shared" si="0"/>
        <v>960</v>
      </c>
      <c r="E4">
        <f>C4-D$13</f>
        <v>-5.9650000000000034</v>
      </c>
      <c r="F4">
        <f t="shared" si="2"/>
        <v>35.581225000000039</v>
      </c>
      <c r="G4">
        <f t="shared" ref="G4:G8" si="8">F4*B4</f>
        <v>853.94940000000088</v>
      </c>
      <c r="H4">
        <f t="shared" ref="H4:H8" si="9">E4*E4*E4</f>
        <v>-212.24200712500036</v>
      </c>
      <c r="I4">
        <f t="shared" ref="I4:I8" si="10">H4*B4</f>
        <v>-5093.8081710000088</v>
      </c>
      <c r="J4">
        <f t="shared" si="3"/>
        <v>1266.0235725006278</v>
      </c>
      <c r="K4">
        <f t="shared" si="4"/>
        <v>30384.565740015067</v>
      </c>
      <c r="M4">
        <f>'Dane do korelacji'!A14</f>
        <v>1985</v>
      </c>
      <c r="N4">
        <f>SUM('Dane do korelacji'!B14:G14)</f>
        <v>11250.7</v>
      </c>
      <c r="O4">
        <f>SUM('Dane do korelacji'!H14:L14)</f>
        <v>1103</v>
      </c>
      <c r="P4">
        <f t="shared" si="5"/>
        <v>3479.5823529411791</v>
      </c>
      <c r="Q4">
        <f t="shared" si="5"/>
        <v>-10065.082352941177</v>
      </c>
      <c r="R4">
        <f t="shared" si="6"/>
        <v>-35022282.936193801</v>
      </c>
      <c r="S4">
        <f t="shared" si="7"/>
        <v>12107493.350899672</v>
      </c>
    </row>
    <row r="5" spans="1:19" x14ac:dyDescent="0.25">
      <c r="A5" t="str">
        <f>'Długość albumów'!B27</f>
        <v>(46-58]</v>
      </c>
      <c r="B5">
        <f>'Długość albumów'!C27</f>
        <v>25</v>
      </c>
      <c r="C5">
        <v>52</v>
      </c>
      <c r="D5">
        <f t="shared" si="0"/>
        <v>1300</v>
      </c>
      <c r="E5">
        <f t="shared" si="1"/>
        <v>6.0349999999999966</v>
      </c>
      <c r="F5">
        <f t="shared" si="2"/>
        <v>36.421224999999957</v>
      </c>
      <c r="G5">
        <f t="shared" si="8"/>
        <v>910.53062499999896</v>
      </c>
      <c r="H5">
        <f t="shared" si="9"/>
        <v>219.80209287499963</v>
      </c>
      <c r="I5">
        <f t="shared" si="10"/>
        <v>5495.0523218749904</v>
      </c>
      <c r="J5">
        <f t="shared" si="3"/>
        <v>1326.5056305006219</v>
      </c>
      <c r="K5">
        <f t="shared" si="4"/>
        <v>33162.640762515548</v>
      </c>
      <c r="M5">
        <f>'Dane do korelacji'!A15</f>
        <v>1986</v>
      </c>
      <c r="N5">
        <f>SUM('Dane do korelacji'!B15:G15)</f>
        <v>10315.9</v>
      </c>
      <c r="O5">
        <f>SUM('Dane do korelacji'!H15:L15)</f>
        <v>2585.8000000000002</v>
      </c>
      <c r="P5">
        <f t="shared" si="5"/>
        <v>2544.782352941178</v>
      </c>
      <c r="Q5">
        <f t="shared" si="5"/>
        <v>-8582.2823529411762</v>
      </c>
      <c r="R5">
        <f t="shared" si="6"/>
        <v>-21840040.679723196</v>
      </c>
      <c r="S5">
        <f t="shared" si="7"/>
        <v>6475917.2238408383</v>
      </c>
    </row>
    <row r="6" spans="1:19" x14ac:dyDescent="0.25">
      <c r="A6" t="str">
        <f>'Długość albumów'!B28</f>
        <v>(58-70]</v>
      </c>
      <c r="B6">
        <f>'Długość albumów'!C28</f>
        <v>7</v>
      </c>
      <c r="C6">
        <v>64</v>
      </c>
      <c r="D6">
        <f t="shared" si="0"/>
        <v>448</v>
      </c>
      <c r="E6">
        <f t="shared" si="1"/>
        <v>18.034999999999997</v>
      </c>
      <c r="F6">
        <f t="shared" si="2"/>
        <v>325.26122499999985</v>
      </c>
      <c r="G6">
        <f t="shared" si="8"/>
        <v>2276.8285749999991</v>
      </c>
      <c r="H6">
        <f t="shared" si="9"/>
        <v>5866.0861928749964</v>
      </c>
      <c r="I6">
        <f t="shared" si="10"/>
        <v>41062.603350124977</v>
      </c>
      <c r="J6">
        <f t="shared" si="3"/>
        <v>105794.86448850053</v>
      </c>
      <c r="K6">
        <f t="shared" si="4"/>
        <v>740564.05141950375</v>
      </c>
      <c r="M6">
        <f>'Dane do korelacji'!A16</f>
        <v>1987</v>
      </c>
      <c r="N6">
        <f>SUM('Dane do korelacji'!B16:G16)</f>
        <v>10649.599999999999</v>
      </c>
      <c r="O6">
        <f>SUM('Dane do korelacji'!H16:L16)</f>
        <v>4274.3999999999996</v>
      </c>
      <c r="P6">
        <f t="shared" si="5"/>
        <v>2878.4823529411769</v>
      </c>
      <c r="Q6">
        <f t="shared" si="5"/>
        <v>-6893.6823529411777</v>
      </c>
      <c r="R6">
        <f t="shared" si="6"/>
        <v>-19843342.999723189</v>
      </c>
      <c r="S6">
        <f t="shared" si="7"/>
        <v>8285660.6561937742</v>
      </c>
    </row>
    <row r="7" spans="1:19" x14ac:dyDescent="0.25">
      <c r="A7" t="str">
        <f>'Długość albumów'!B29</f>
        <v>(70-82]</v>
      </c>
      <c r="B7">
        <f>'Długość albumów'!C29</f>
        <v>8</v>
      </c>
      <c r="C7">
        <v>76</v>
      </c>
      <c r="D7">
        <f t="shared" si="0"/>
        <v>608</v>
      </c>
      <c r="E7">
        <f t="shared" si="1"/>
        <v>30.034999999999997</v>
      </c>
      <c r="F7">
        <f t="shared" si="2"/>
        <v>902.10122499999977</v>
      </c>
      <c r="G7">
        <f t="shared" si="8"/>
        <v>7216.8097999999982</v>
      </c>
      <c r="H7">
        <f t="shared" si="9"/>
        <v>27094.61029287499</v>
      </c>
      <c r="I7">
        <f t="shared" si="10"/>
        <v>216756.88234299992</v>
      </c>
      <c r="J7">
        <f t="shared" si="3"/>
        <v>813786.62014650018</v>
      </c>
      <c r="K7">
        <f t="shared" si="4"/>
        <v>6510292.9611720014</v>
      </c>
      <c r="M7">
        <f>'Dane do korelacji'!A17</f>
        <v>1988</v>
      </c>
      <c r="N7">
        <f>SUM('Dane do korelacji'!B17:G17)</f>
        <v>10702</v>
      </c>
      <c r="O7">
        <f>SUM('Dane do korelacji'!H17:L17)</f>
        <v>5408.0999999999995</v>
      </c>
      <c r="P7">
        <f t="shared" si="5"/>
        <v>2930.8823529411784</v>
      </c>
      <c r="Q7">
        <f t="shared" si="5"/>
        <v>-5759.9823529411779</v>
      </c>
      <c r="R7">
        <f t="shared" si="6"/>
        <v>-16881830.631487906</v>
      </c>
      <c r="S7">
        <f t="shared" si="7"/>
        <v>8590071.3667820189</v>
      </c>
    </row>
    <row r="8" spans="1:19" x14ac:dyDescent="0.25">
      <c r="A8" t="str">
        <f>'Długość albumów'!B30</f>
        <v>(82-129]</v>
      </c>
      <c r="B8">
        <f>'Długość albumów'!C30</f>
        <v>5</v>
      </c>
      <c r="C8">
        <v>105.5</v>
      </c>
      <c r="D8">
        <f t="shared" si="0"/>
        <v>527.5</v>
      </c>
      <c r="E8">
        <f t="shared" si="1"/>
        <v>59.534999999999997</v>
      </c>
      <c r="F8">
        <f t="shared" si="2"/>
        <v>3544.4162249999995</v>
      </c>
      <c r="G8">
        <f t="shared" si="8"/>
        <v>17722.081124999997</v>
      </c>
      <c r="H8">
        <f t="shared" si="9"/>
        <v>211016.81995537496</v>
      </c>
      <c r="I8">
        <f t="shared" si="10"/>
        <v>1055084.0997768748</v>
      </c>
      <c r="J8">
        <f t="shared" si="3"/>
        <v>12562886.376043247</v>
      </c>
      <c r="K8">
        <f t="shared" si="4"/>
        <v>62814431.880216233</v>
      </c>
      <c r="M8">
        <f>'Dane do korelacji'!A18</f>
        <v>1989</v>
      </c>
      <c r="N8">
        <f>SUM('Dane do korelacji'!B18:G18)</f>
        <v>9527</v>
      </c>
      <c r="O8">
        <f>SUM('Dane do korelacji'!H18:L18)</f>
        <v>6642.3</v>
      </c>
      <c r="P8">
        <f t="shared" si="5"/>
        <v>1755.8823529411784</v>
      </c>
      <c r="Q8">
        <f t="shared" si="5"/>
        <v>-4525.7823529411771</v>
      </c>
      <c r="R8">
        <f t="shared" si="6"/>
        <v>-7946741.3667820171</v>
      </c>
      <c r="S8">
        <f t="shared" si="7"/>
        <v>3083122.837370249</v>
      </c>
    </row>
    <row r="9" spans="1:19" x14ac:dyDescent="0.25">
      <c r="D9">
        <f>SUM(D2:D8)</f>
        <v>4596.5</v>
      </c>
      <c r="F9">
        <f>SUM(F2:F8)</f>
        <v>6034.7085749999997</v>
      </c>
      <c r="G9">
        <f>SUM(G2:G8)</f>
        <v>44439.627500000002</v>
      </c>
      <c r="I9">
        <f>SUM(I2:I8)</f>
        <v>935734.79017499951</v>
      </c>
      <c r="K9">
        <f>SUM(K2:K8)</f>
        <v>79853709.176712289</v>
      </c>
      <c r="M9">
        <f>'Dane do korelacji'!A19</f>
        <v>1990</v>
      </c>
      <c r="N9">
        <f>SUM('Dane do korelacji'!B19:G19)</f>
        <v>9118.2000000000007</v>
      </c>
      <c r="O9">
        <f>SUM('Dane do korelacji'!H19:L19)</f>
        <v>8462.4</v>
      </c>
      <c r="P9">
        <f t="shared" si="5"/>
        <v>1347.0823529411791</v>
      </c>
      <c r="Q9">
        <f>O9-O$20</f>
        <v>-2705.6823529411777</v>
      </c>
      <c r="R9">
        <f t="shared" si="6"/>
        <v>-3644776.9503114275</v>
      </c>
      <c r="S9">
        <f t="shared" si="7"/>
        <v>1814630.8656055434</v>
      </c>
    </row>
    <row r="10" spans="1:19" x14ac:dyDescent="0.25">
      <c r="F10">
        <f>F9/100</f>
        <v>60.347085749999998</v>
      </c>
      <c r="G10">
        <f>G9/100</f>
        <v>444.396275</v>
      </c>
      <c r="I10">
        <f>I9/100</f>
        <v>9357.3479017499958</v>
      </c>
      <c r="K10">
        <f>K9/100</f>
        <v>798537.09176712285</v>
      </c>
      <c r="M10">
        <f>'Dane do korelacji'!A20</f>
        <v>1991</v>
      </c>
      <c r="N10">
        <f>SUM('Dane do korelacji'!B20:G20)</f>
        <v>7479.5</v>
      </c>
      <c r="O10">
        <f>SUM('Dane do korelacji'!H20:L20)</f>
        <v>10046.900000000001</v>
      </c>
      <c r="P10">
        <f t="shared" si="5"/>
        <v>-291.6176470588216</v>
      </c>
      <c r="Q10">
        <f t="shared" si="5"/>
        <v>-1121.1823529411758</v>
      </c>
      <c r="R10">
        <f t="shared" si="6"/>
        <v>326956.559688579</v>
      </c>
      <c r="S10">
        <f t="shared" si="7"/>
        <v>85040.852076123439</v>
      </c>
    </row>
    <row r="11" spans="1:19" x14ac:dyDescent="0.25">
      <c r="D11">
        <f>AVERAGE(D2:D8)</f>
        <v>656.64285714285711</v>
      </c>
      <c r="F11">
        <f>SQRT(F10)</f>
        <v>7.7683386737448563</v>
      </c>
      <c r="M11">
        <f>'Dane do korelacji'!A21</f>
        <v>1992</v>
      </c>
      <c r="N11">
        <f>SUM('Dane do korelacji'!B21:G21)</f>
        <v>7590.2999999999993</v>
      </c>
      <c r="O11">
        <f>SUM('Dane do korelacji'!H21:L21)</f>
        <v>12007.699999999999</v>
      </c>
      <c r="P11">
        <f t="shared" si="5"/>
        <v>-180.81764705882233</v>
      </c>
      <c r="Q11">
        <f t="shared" si="5"/>
        <v>839.6176470588216</v>
      </c>
      <c r="R11">
        <f>P11*Q11</f>
        <v>-151817.68737024086</v>
      </c>
      <c r="S11">
        <f t="shared" si="7"/>
        <v>32695.02148788884</v>
      </c>
    </row>
    <row r="12" spans="1:19" x14ac:dyDescent="0.25">
      <c r="M12">
        <f>'Dane do korelacji'!A22</f>
        <v>1993</v>
      </c>
      <c r="N12">
        <f>SUM('Dane do korelacji'!B22:G22)</f>
        <v>6908.1999999999989</v>
      </c>
      <c r="O12">
        <f>SUM('Dane do korelacji'!H22:L22)</f>
        <v>14276.8</v>
      </c>
      <c r="P12">
        <f t="shared" si="5"/>
        <v>-862.91764705882269</v>
      </c>
      <c r="Q12">
        <f t="shared" si="5"/>
        <v>3108.717647058822</v>
      </c>
      <c r="R12">
        <f t="shared" si="6"/>
        <v>-2682567.3173702382</v>
      </c>
      <c r="S12">
        <f t="shared" si="7"/>
        <v>744626.86560553487</v>
      </c>
    </row>
    <row r="13" spans="1:19" x14ac:dyDescent="0.25">
      <c r="D13">
        <f>'Długość albumów'!Q22</f>
        <v>45.965000000000003</v>
      </c>
      <c r="M13">
        <f>'Dane do korelacji'!A23</f>
        <v>1994</v>
      </c>
      <c r="N13">
        <f>SUM('Dane do korelacji'!B23:G23)</f>
        <v>6818.3</v>
      </c>
      <c r="O13">
        <f>SUM('Dane do korelacji'!H23:L23)</f>
        <v>17993.599999999999</v>
      </c>
      <c r="P13">
        <f t="shared" si="5"/>
        <v>-952.81764705882142</v>
      </c>
      <c r="Q13">
        <f t="shared" si="5"/>
        <v>6825.5176470588212</v>
      </c>
      <c r="R13">
        <f t="shared" si="6"/>
        <v>-6503473.664429049</v>
      </c>
      <c r="S13">
        <f t="shared" si="7"/>
        <v>907861.46854670881</v>
      </c>
    </row>
    <row r="14" spans="1:19" x14ac:dyDescent="0.25">
      <c r="M14">
        <f>'Dane do korelacji'!A24</f>
        <v>1995</v>
      </c>
      <c r="N14">
        <f>SUM('Dane do korelacji'!B24:G24)</f>
        <v>5221.6999999999989</v>
      </c>
      <c r="O14">
        <f>SUM('Dane do korelacji'!H24:L24)</f>
        <v>19411</v>
      </c>
      <c r="P14">
        <f t="shared" si="5"/>
        <v>-2549.4176470588227</v>
      </c>
      <c r="Q14">
        <f t="shared" si="5"/>
        <v>8242.9176470588227</v>
      </c>
      <c r="R14">
        <f t="shared" si="6"/>
        <v>-21014639.712664351</v>
      </c>
      <c r="S14">
        <f t="shared" si="7"/>
        <v>6499530.3391349437</v>
      </c>
    </row>
    <row r="15" spans="1:19" x14ac:dyDescent="0.25">
      <c r="E15">
        <f>(E2^3)*B2</f>
        <v>-255811.07119625009</v>
      </c>
      <c r="M15">
        <f>'Dane do korelacji'!A25</f>
        <v>1996</v>
      </c>
      <c r="N15">
        <f>SUM('Dane do korelacji'!B25:G25)</f>
        <v>4231.3999999999996</v>
      </c>
      <c r="O15">
        <f>SUM('Dane do korelacji'!H25:L25)</f>
        <v>20109.3</v>
      </c>
      <c r="P15">
        <f t="shared" si="5"/>
        <v>-3539.717647058822</v>
      </c>
      <c r="Q15">
        <f t="shared" si="5"/>
        <v>8941.217647058822</v>
      </c>
      <c r="R15">
        <f t="shared" si="6"/>
        <v>-31649385.89148787</v>
      </c>
      <c r="S15">
        <f t="shared" si="7"/>
        <v>12529601.020899642</v>
      </c>
    </row>
    <row r="16" spans="1:19" x14ac:dyDescent="0.25">
      <c r="M16">
        <f>'Dane do korelacji'!A26</f>
        <v>1997</v>
      </c>
      <c r="N16">
        <f>SUM('Dane do korelacji'!B26:G26)</f>
        <v>3275</v>
      </c>
      <c r="O16">
        <f>SUM('Dane do korelacji'!H26:L26)</f>
        <v>19956.000000000004</v>
      </c>
      <c r="P16">
        <f t="shared" si="5"/>
        <v>-4496.1176470588216</v>
      </c>
      <c r="Q16">
        <f t="shared" si="5"/>
        <v>8787.9176470588263</v>
      </c>
      <c r="R16">
        <f t="shared" si="6"/>
        <v>-39511511.613840826</v>
      </c>
      <c r="S16">
        <f t="shared" si="7"/>
        <v>20215073.896193754</v>
      </c>
    </row>
    <row r="17" spans="13:19" x14ac:dyDescent="0.25">
      <c r="M17">
        <f>'Dane do korelacji'!A27</f>
        <v>1998</v>
      </c>
      <c r="N17">
        <f>SUM('Dane do korelacji'!B27:G27)</f>
        <v>2942.4</v>
      </c>
      <c r="O17">
        <f>SUM('Dane do korelacji'!H27:L27)</f>
        <v>22688.5</v>
      </c>
      <c r="P17">
        <f t="shared" si="5"/>
        <v>-4828.717647058822</v>
      </c>
      <c r="Q17">
        <f t="shared" si="5"/>
        <v>11520.417647058823</v>
      </c>
      <c r="R17">
        <f t="shared" si="6"/>
        <v>-55628843.993840806</v>
      </c>
      <c r="S17">
        <f t="shared" si="7"/>
        <v>23316514.115017287</v>
      </c>
    </row>
    <row r="18" spans="13:19" x14ac:dyDescent="0.25">
      <c r="M18">
        <f>'Dane do korelacji'!A28</f>
        <v>1999</v>
      </c>
      <c r="N18">
        <f>SUM('Dane do korelacji'!B28:G28)</f>
        <v>2138.6</v>
      </c>
      <c r="O18">
        <f>SUM('Dane do korelacji'!H28:L28)</f>
        <v>24536.1</v>
      </c>
      <c r="P18">
        <f t="shared" si="5"/>
        <v>-5632.5176470588212</v>
      </c>
      <c r="Q18">
        <f t="shared" si="5"/>
        <v>13368.017647058821</v>
      </c>
      <c r="R18">
        <f t="shared" si="6"/>
        <v>-75295595.303252548</v>
      </c>
      <c r="S18">
        <f t="shared" si="7"/>
        <v>31725255.044429041</v>
      </c>
    </row>
    <row r="19" spans="13:19" x14ac:dyDescent="0.25">
      <c r="M19" t="s">
        <v>204</v>
      </c>
      <c r="N19">
        <f>SUM(N2:N18)</f>
        <v>132108.99999999997</v>
      </c>
      <c r="O19">
        <f>SUM(O2:O18)</f>
        <v>189857.40000000002</v>
      </c>
      <c r="R19">
        <f>SUM(R2:R18)</f>
        <v>-429476410.66470587</v>
      </c>
    </row>
    <row r="20" spans="13:19" x14ac:dyDescent="0.25">
      <c r="M20" t="s">
        <v>203</v>
      </c>
      <c r="N20">
        <f>AVERAGE('Analogi vs kompakty'!B2:B18)</f>
        <v>7771.1176470588216</v>
      </c>
      <c r="O20">
        <f>AVERAGE('Analogi vs kompakty'!C2:C18)</f>
        <v>11168.082352941177</v>
      </c>
      <c r="R20">
        <f>R19/N22</f>
        <v>-25263318.274394464</v>
      </c>
      <c r="S20">
        <f>AVERAGE(S2:S18)</f>
        <v>10121271.655570935</v>
      </c>
    </row>
    <row r="21" spans="13:19" x14ac:dyDescent="0.25">
      <c r="S21">
        <f>SQRT(S20)</f>
        <v>3181.394608590851</v>
      </c>
    </row>
    <row r="22" spans="13:19" x14ac:dyDescent="0.25">
      <c r="M22" s="8" t="s">
        <v>58</v>
      </c>
      <c r="N22" s="7">
        <v>17</v>
      </c>
    </row>
    <row r="23" spans="13:19" x14ac:dyDescent="0.25">
      <c r="M23" t="s">
        <v>207</v>
      </c>
      <c r="N23">
        <f>_xlfn.STDEV.P(N2:N18)</f>
        <v>3181.3946085908569</v>
      </c>
      <c r="O23">
        <f>_xlfn.STDEV.P(O2:O18)</f>
        <v>8116.1696571600942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H2" sqref="H2"/>
    </sheetView>
  </sheetViews>
  <sheetFormatPr defaultRowHeight="15" x14ac:dyDescent="0.25"/>
  <cols>
    <col min="1" max="1" width="6" customWidth="1"/>
    <col min="2" max="3" width="6.7109375" customWidth="1"/>
    <col min="4" max="4" width="54" customWidth="1"/>
    <col min="5" max="5" width="17.5703125" customWidth="1"/>
    <col min="6" max="6" width="12.140625" customWidth="1"/>
    <col min="7" max="7" width="13.7109375" customWidth="1"/>
    <col min="10" max="10" width="18" bestFit="1" customWidth="1"/>
    <col min="11" max="11" width="6.42578125" bestFit="1" customWidth="1"/>
    <col min="12" max="12" width="4" bestFit="1" customWidth="1"/>
  </cols>
  <sheetData>
    <row r="1" spans="1:12" x14ac:dyDescent="0.25">
      <c r="A1" s="1" t="s">
        <v>0</v>
      </c>
      <c r="B1" s="1" t="s">
        <v>1</v>
      </c>
      <c r="C1" s="1" t="s">
        <v>2</v>
      </c>
      <c r="D1" s="1" t="s">
        <v>3</v>
      </c>
      <c r="E1" s="1" t="s">
        <v>4</v>
      </c>
      <c r="F1" s="1" t="s">
        <v>5</v>
      </c>
      <c r="G1" s="1" t="s">
        <v>56</v>
      </c>
      <c r="H1" s="1" t="s">
        <v>57</v>
      </c>
      <c r="J1" s="134" t="s">
        <v>69</v>
      </c>
      <c r="K1" s="135"/>
      <c r="L1" s="136"/>
    </row>
    <row r="2" spans="1:12" x14ac:dyDescent="0.25">
      <c r="A2">
        <v>1</v>
      </c>
      <c r="B2" s="3">
        <v>78</v>
      </c>
      <c r="D2" t="s">
        <v>6</v>
      </c>
      <c r="E2" s="2">
        <v>5585696428</v>
      </c>
      <c r="F2" s="2">
        <v>6423966</v>
      </c>
      <c r="G2" s="4">
        <v>3.6712962962962961E-2</v>
      </c>
      <c r="H2">
        <v>53</v>
      </c>
      <c r="J2" s="137"/>
      <c r="K2" s="138"/>
      <c r="L2" s="139"/>
    </row>
    <row r="3" spans="1:12" x14ac:dyDescent="0.25">
      <c r="A3">
        <v>2</v>
      </c>
      <c r="B3" s="3">
        <v>105</v>
      </c>
      <c r="D3" t="s">
        <v>7</v>
      </c>
      <c r="E3" s="2">
        <v>4909262111</v>
      </c>
      <c r="F3" s="2">
        <v>8968559</v>
      </c>
      <c r="G3" s="5">
        <v>7.7777777777777779E-2</v>
      </c>
      <c r="H3">
        <f>60+52</f>
        <v>112</v>
      </c>
      <c r="J3" s="11" t="s">
        <v>68</v>
      </c>
      <c r="K3" s="14" t="s">
        <v>66</v>
      </c>
      <c r="L3" s="19">
        <f>MAX(H2:H101)</f>
        <v>129</v>
      </c>
    </row>
    <row r="4" spans="1:12" x14ac:dyDescent="0.25">
      <c r="A4">
        <v>3</v>
      </c>
      <c r="B4" s="3">
        <v>138</v>
      </c>
      <c r="D4" t="s">
        <v>8</v>
      </c>
      <c r="E4" s="2">
        <v>4379165763</v>
      </c>
      <c r="F4" s="2">
        <v>6051553</v>
      </c>
      <c r="G4" s="5">
        <v>3.7615740740740741E-2</v>
      </c>
      <c r="H4">
        <v>54</v>
      </c>
      <c r="J4" s="12" t="s">
        <v>243</v>
      </c>
      <c r="K4" s="15" t="s">
        <v>67</v>
      </c>
      <c r="L4" s="20">
        <f>MIN(H2:H101)</f>
        <v>11</v>
      </c>
    </row>
    <row r="5" spans="1:12" x14ac:dyDescent="0.25">
      <c r="A5">
        <v>4</v>
      </c>
      <c r="B5" s="3">
        <v>158</v>
      </c>
      <c r="D5" t="s">
        <v>9</v>
      </c>
      <c r="E5" s="2">
        <v>4069486854</v>
      </c>
      <c r="F5" s="2">
        <v>3379795</v>
      </c>
      <c r="G5" s="5">
        <v>2.2152777777777778E-2</v>
      </c>
      <c r="H5">
        <v>32</v>
      </c>
      <c r="J5" s="12" t="s">
        <v>61</v>
      </c>
      <c r="K5" s="16" t="s">
        <v>58</v>
      </c>
      <c r="L5" s="20">
        <v>100</v>
      </c>
    </row>
    <row r="6" spans="1:12" x14ac:dyDescent="0.25">
      <c r="A6">
        <v>5</v>
      </c>
      <c r="B6" s="3">
        <v>184</v>
      </c>
      <c r="D6" t="s">
        <v>10</v>
      </c>
      <c r="E6" s="2">
        <v>3804560306</v>
      </c>
      <c r="F6" s="2">
        <v>6120418</v>
      </c>
      <c r="G6" s="5">
        <v>5.6250000000000001E-2</v>
      </c>
      <c r="H6">
        <v>81</v>
      </c>
      <c r="J6" s="12" t="s">
        <v>62</v>
      </c>
      <c r="K6" s="17" t="s">
        <v>59</v>
      </c>
      <c r="L6" s="21">
        <f>SQRT(L5)</f>
        <v>10</v>
      </c>
    </row>
    <row r="7" spans="1:12" x14ac:dyDescent="0.25">
      <c r="A7">
        <v>6</v>
      </c>
      <c r="B7" s="3">
        <v>185</v>
      </c>
      <c r="D7" t="s">
        <v>11</v>
      </c>
      <c r="E7" s="2">
        <v>3801726457</v>
      </c>
      <c r="F7" s="2">
        <v>7829404</v>
      </c>
      <c r="G7" s="5">
        <v>5.0694444444444445E-2</v>
      </c>
      <c r="H7">
        <v>73</v>
      </c>
      <c r="J7" s="12" t="s">
        <v>64</v>
      </c>
      <c r="K7" s="15" t="s">
        <v>65</v>
      </c>
      <c r="L7" s="20">
        <f>L3-L4</f>
        <v>118</v>
      </c>
    </row>
    <row r="8" spans="1:12" x14ac:dyDescent="0.25">
      <c r="A8">
        <v>7</v>
      </c>
      <c r="B8" s="3">
        <v>191</v>
      </c>
      <c r="D8" t="s">
        <v>12</v>
      </c>
      <c r="E8" s="2">
        <v>3710737740</v>
      </c>
      <c r="F8" s="2">
        <v>5544071</v>
      </c>
      <c r="G8" s="5">
        <v>5.347222222222222E-2</v>
      </c>
      <c r="H8">
        <v>77</v>
      </c>
      <c r="J8" s="13" t="s">
        <v>63</v>
      </c>
      <c r="K8" s="18" t="s">
        <v>60</v>
      </c>
      <c r="L8" s="22">
        <f>L7/L6</f>
        <v>11.8</v>
      </c>
    </row>
    <row r="9" spans="1:12" x14ac:dyDescent="0.25">
      <c r="A9">
        <v>8</v>
      </c>
      <c r="B9" s="3">
        <v>216</v>
      </c>
      <c r="D9" t="s">
        <v>13</v>
      </c>
      <c r="E9" s="2">
        <v>3502609450</v>
      </c>
      <c r="F9" s="2">
        <v>6708825</v>
      </c>
      <c r="G9" s="5">
        <v>2.2060185185185186E-2</v>
      </c>
      <c r="H9">
        <v>32</v>
      </c>
    </row>
    <row r="10" spans="1:12" x14ac:dyDescent="0.25">
      <c r="A10">
        <v>9</v>
      </c>
      <c r="B10" s="3">
        <v>219</v>
      </c>
      <c r="D10" t="s">
        <v>14</v>
      </c>
      <c r="E10" s="2">
        <v>3492209792</v>
      </c>
      <c r="F10" s="2">
        <v>1479144</v>
      </c>
      <c r="G10" s="5">
        <v>2.2592592592592591E-2</v>
      </c>
      <c r="H10">
        <v>33</v>
      </c>
    </row>
    <row r="11" spans="1:12" x14ac:dyDescent="0.25">
      <c r="A11">
        <v>10</v>
      </c>
      <c r="B11" s="3">
        <v>236</v>
      </c>
      <c r="D11" t="s">
        <v>15</v>
      </c>
      <c r="E11" s="2">
        <v>3362224709</v>
      </c>
      <c r="F11" s="2">
        <v>4640936</v>
      </c>
      <c r="G11" s="5">
        <v>2.4143518518518519E-2</v>
      </c>
      <c r="H11">
        <v>35</v>
      </c>
    </row>
    <row r="12" spans="1:12" x14ac:dyDescent="0.25">
      <c r="A12">
        <v>11</v>
      </c>
      <c r="B12" s="3">
        <v>253</v>
      </c>
      <c r="D12" t="s">
        <v>16</v>
      </c>
      <c r="E12" s="2">
        <v>3246790110</v>
      </c>
      <c r="F12" s="2">
        <v>7851162</v>
      </c>
      <c r="G12" s="5">
        <v>2.7291666666666665E-2</v>
      </c>
      <c r="H12">
        <v>39</v>
      </c>
    </row>
    <row r="13" spans="1:12" x14ac:dyDescent="0.25">
      <c r="A13">
        <v>12</v>
      </c>
      <c r="B13" s="3">
        <v>268</v>
      </c>
      <c r="D13" t="s">
        <v>17</v>
      </c>
      <c r="E13" s="2">
        <v>3144900808</v>
      </c>
      <c r="F13" s="2">
        <v>1332376</v>
      </c>
      <c r="G13" s="5">
        <v>3.4664351851851849E-2</v>
      </c>
      <c r="H13">
        <v>50</v>
      </c>
    </row>
    <row r="14" spans="1:12" x14ac:dyDescent="0.25">
      <c r="A14">
        <v>13</v>
      </c>
      <c r="B14" s="3">
        <v>286</v>
      </c>
      <c r="D14" t="s">
        <v>18</v>
      </c>
      <c r="E14" s="2">
        <v>3007613937</v>
      </c>
      <c r="F14" s="2">
        <v>3824366</v>
      </c>
      <c r="G14" s="5">
        <v>3.0729166666666665E-2</v>
      </c>
      <c r="H14">
        <v>44</v>
      </c>
    </row>
    <row r="15" spans="1:12" x14ac:dyDescent="0.25">
      <c r="A15">
        <v>14</v>
      </c>
      <c r="B15" s="3">
        <v>315</v>
      </c>
      <c r="D15" t="s">
        <v>19</v>
      </c>
      <c r="E15" s="2">
        <v>2841969343</v>
      </c>
      <c r="F15" s="2">
        <v>2828849</v>
      </c>
      <c r="G15" s="5">
        <v>3.2314814814814817E-2</v>
      </c>
      <c r="H15">
        <v>47</v>
      </c>
    </row>
    <row r="16" spans="1:12" x14ac:dyDescent="0.25">
      <c r="A16">
        <v>15</v>
      </c>
      <c r="B16" s="3">
        <v>353</v>
      </c>
      <c r="D16" t="s">
        <v>20</v>
      </c>
      <c r="E16" s="2">
        <v>2709667972</v>
      </c>
      <c r="F16" s="2">
        <v>4158120</v>
      </c>
      <c r="G16" s="5">
        <v>5.8333333333333334E-2</v>
      </c>
      <c r="H16">
        <v>84</v>
      </c>
    </row>
    <row r="17" spans="1:8" x14ac:dyDescent="0.25">
      <c r="A17">
        <v>16</v>
      </c>
      <c r="B17" s="3">
        <v>389</v>
      </c>
      <c r="D17" t="s">
        <v>21</v>
      </c>
      <c r="E17" s="2">
        <v>2585784588</v>
      </c>
      <c r="F17" s="2">
        <v>1781125</v>
      </c>
      <c r="G17" s="5">
        <v>3.3125000000000002E-2</v>
      </c>
      <c r="H17">
        <v>48</v>
      </c>
    </row>
    <row r="18" spans="1:8" x14ac:dyDescent="0.25">
      <c r="A18">
        <v>17</v>
      </c>
      <c r="B18" s="3">
        <v>421</v>
      </c>
      <c r="D18" t="s">
        <v>22</v>
      </c>
      <c r="E18" s="2">
        <v>2479284950</v>
      </c>
      <c r="F18" s="2">
        <v>2681430</v>
      </c>
      <c r="G18" s="5">
        <v>2.0046296296296295E-2</v>
      </c>
      <c r="H18">
        <v>29</v>
      </c>
    </row>
    <row r="19" spans="1:8" x14ac:dyDescent="0.25">
      <c r="A19">
        <v>18</v>
      </c>
      <c r="B19" s="3">
        <v>430</v>
      </c>
      <c r="D19" t="s">
        <v>23</v>
      </c>
      <c r="E19" s="2">
        <v>2450779482</v>
      </c>
      <c r="F19" s="2">
        <v>2925002</v>
      </c>
      <c r="G19" s="5">
        <v>3.1608796296296295E-2</v>
      </c>
      <c r="H19">
        <v>46</v>
      </c>
    </row>
    <row r="20" spans="1:8" x14ac:dyDescent="0.25">
      <c r="A20">
        <v>19</v>
      </c>
      <c r="B20" s="3">
        <v>440</v>
      </c>
      <c r="D20" t="s">
        <v>24</v>
      </c>
      <c r="E20" s="2">
        <v>2401141030</v>
      </c>
      <c r="F20" s="2">
        <v>2771385</v>
      </c>
      <c r="G20" s="5">
        <v>7.2222222222222215E-2</v>
      </c>
      <c r="H20">
        <v>104</v>
      </c>
    </row>
    <row r="21" spans="1:8" x14ac:dyDescent="0.25">
      <c r="A21">
        <v>20</v>
      </c>
      <c r="B21" s="3">
        <v>451</v>
      </c>
      <c r="D21" t="s">
        <v>25</v>
      </c>
      <c r="E21" s="2">
        <v>2359911062</v>
      </c>
      <c r="F21" s="2">
        <v>1592699</v>
      </c>
      <c r="G21" s="5">
        <v>2.7511574074074074E-2</v>
      </c>
      <c r="H21">
        <v>40</v>
      </c>
    </row>
    <row r="22" spans="1:8" x14ac:dyDescent="0.25">
      <c r="A22">
        <v>21</v>
      </c>
      <c r="B22" s="3">
        <v>476</v>
      </c>
      <c r="D22" t="s">
        <v>26</v>
      </c>
      <c r="E22" s="2">
        <v>2249290223</v>
      </c>
      <c r="F22" s="2">
        <v>6496652</v>
      </c>
      <c r="G22" s="5">
        <v>5.6250000000000001E-2</v>
      </c>
      <c r="H22">
        <v>81</v>
      </c>
    </row>
    <row r="23" spans="1:8" x14ac:dyDescent="0.25">
      <c r="A23">
        <v>22</v>
      </c>
      <c r="B23" s="3">
        <v>489</v>
      </c>
      <c r="D23" t="s">
        <v>27</v>
      </c>
      <c r="E23" s="2">
        <v>2202146376</v>
      </c>
      <c r="F23" s="2">
        <v>4410342</v>
      </c>
      <c r="G23" s="5">
        <v>1.8726851851851852E-2</v>
      </c>
      <c r="H23">
        <v>27</v>
      </c>
    </row>
    <row r="24" spans="1:8" x14ac:dyDescent="0.25">
      <c r="A24">
        <v>23</v>
      </c>
      <c r="B24" s="3">
        <v>516</v>
      </c>
      <c r="D24" t="s">
        <v>28</v>
      </c>
      <c r="E24" s="2">
        <v>2137055568</v>
      </c>
      <c r="F24" s="2">
        <v>4171814</v>
      </c>
      <c r="G24" s="5">
        <v>1.3888888888888888E-2</v>
      </c>
      <c r="H24">
        <v>20</v>
      </c>
    </row>
    <row r="25" spans="1:8" x14ac:dyDescent="0.25">
      <c r="A25">
        <v>24</v>
      </c>
      <c r="B25" s="3">
        <v>560</v>
      </c>
      <c r="D25" t="s">
        <v>29</v>
      </c>
      <c r="E25" s="2">
        <v>2041659458</v>
      </c>
      <c r="F25" s="2">
        <v>3580702</v>
      </c>
      <c r="G25" s="5">
        <v>3.9606481481481479E-2</v>
      </c>
      <c r="H25">
        <v>57</v>
      </c>
    </row>
    <row r="26" spans="1:8" x14ac:dyDescent="0.25">
      <c r="A26">
        <v>25</v>
      </c>
      <c r="B26" s="3">
        <v>593</v>
      </c>
      <c r="D26" t="s">
        <v>30</v>
      </c>
      <c r="E26" s="2">
        <v>1978395103</v>
      </c>
      <c r="F26" s="2">
        <v>2023855</v>
      </c>
      <c r="G26" s="5">
        <v>4.3749999999999997E-2</v>
      </c>
      <c r="H26">
        <v>63</v>
      </c>
    </row>
    <row r="27" spans="1:8" x14ac:dyDescent="0.25">
      <c r="A27">
        <v>26</v>
      </c>
      <c r="B27" s="3">
        <v>623</v>
      </c>
      <c r="D27" t="s">
        <v>31</v>
      </c>
      <c r="E27" s="2">
        <v>1916154266</v>
      </c>
      <c r="F27" s="2">
        <v>4903808</v>
      </c>
      <c r="G27" s="5">
        <v>2.6643518518518518E-2</v>
      </c>
      <c r="H27">
        <v>38</v>
      </c>
    </row>
    <row r="28" spans="1:8" x14ac:dyDescent="0.25">
      <c r="A28">
        <v>27</v>
      </c>
      <c r="B28" s="3">
        <v>625</v>
      </c>
      <c r="D28" t="s">
        <v>32</v>
      </c>
      <c r="E28" s="2">
        <v>1911449661</v>
      </c>
      <c r="F28" s="2">
        <v>2891359</v>
      </c>
      <c r="G28" s="5">
        <v>3.1053240740740742E-2</v>
      </c>
      <c r="H28">
        <v>45</v>
      </c>
    </row>
    <row r="29" spans="1:8" x14ac:dyDescent="0.25">
      <c r="A29">
        <v>28</v>
      </c>
      <c r="B29" s="3">
        <v>635</v>
      </c>
      <c r="D29" t="s">
        <v>33</v>
      </c>
      <c r="E29" s="2">
        <v>1881797047</v>
      </c>
      <c r="F29" s="2">
        <v>944236</v>
      </c>
      <c r="G29" s="5">
        <v>2.3032407407407408E-2</v>
      </c>
      <c r="H29">
        <v>33</v>
      </c>
    </row>
    <row r="30" spans="1:8" x14ac:dyDescent="0.25">
      <c r="A30">
        <v>29</v>
      </c>
      <c r="B30" s="3">
        <v>681</v>
      </c>
      <c r="D30" t="s">
        <v>34</v>
      </c>
      <c r="E30" s="2">
        <v>1773068679</v>
      </c>
      <c r="F30" s="2">
        <v>2815824</v>
      </c>
      <c r="G30" s="6">
        <v>3.6689814814814814E-2</v>
      </c>
      <c r="H30">
        <v>53</v>
      </c>
    </row>
    <row r="31" spans="1:8" x14ac:dyDescent="0.25">
      <c r="A31">
        <v>30</v>
      </c>
      <c r="B31" s="3">
        <v>698</v>
      </c>
      <c r="D31" t="s">
        <v>35</v>
      </c>
      <c r="E31" s="2">
        <v>1744561903</v>
      </c>
      <c r="F31" s="2">
        <v>5138522</v>
      </c>
      <c r="G31" s="5">
        <v>1.7754629629629631E-2</v>
      </c>
      <c r="H31">
        <v>25</v>
      </c>
    </row>
    <row r="32" spans="1:8" x14ac:dyDescent="0.25">
      <c r="A32">
        <v>31</v>
      </c>
      <c r="B32" s="3">
        <v>708</v>
      </c>
      <c r="D32" t="s">
        <v>36</v>
      </c>
      <c r="E32" s="2">
        <v>1732434227</v>
      </c>
      <c r="F32" s="2">
        <v>1777461</v>
      </c>
      <c r="G32" s="5">
        <v>5.1388888888888887E-2</v>
      </c>
      <c r="H32">
        <v>74</v>
      </c>
    </row>
    <row r="33" spans="1:8" x14ac:dyDescent="0.25">
      <c r="A33">
        <v>32</v>
      </c>
      <c r="B33" s="3">
        <v>710</v>
      </c>
      <c r="D33" t="s">
        <v>37</v>
      </c>
      <c r="E33" s="2">
        <v>1726555756</v>
      </c>
      <c r="F33" s="2">
        <v>896898</v>
      </c>
      <c r="G33" s="5">
        <v>2.837962962962963E-2</v>
      </c>
      <c r="H33">
        <v>41</v>
      </c>
    </row>
    <row r="34" spans="1:8" x14ac:dyDescent="0.25">
      <c r="A34">
        <v>33</v>
      </c>
      <c r="B34" s="3">
        <v>732</v>
      </c>
      <c r="D34" t="s">
        <v>38</v>
      </c>
      <c r="E34" s="2">
        <v>1697212864</v>
      </c>
      <c r="F34" s="2">
        <v>1866102</v>
      </c>
      <c r="G34" s="5">
        <v>2.5717592592592594E-2</v>
      </c>
      <c r="H34">
        <v>37</v>
      </c>
    </row>
    <row r="35" spans="1:8" x14ac:dyDescent="0.25">
      <c r="A35">
        <v>34</v>
      </c>
      <c r="B35" s="3">
        <v>742</v>
      </c>
      <c r="D35" t="s">
        <v>39</v>
      </c>
      <c r="E35" s="2">
        <v>1679314045</v>
      </c>
      <c r="F35" s="2">
        <v>5247044</v>
      </c>
      <c r="G35" s="5">
        <v>3.7766203703703705E-2</v>
      </c>
      <c r="H35">
        <v>54</v>
      </c>
    </row>
    <row r="36" spans="1:8" x14ac:dyDescent="0.25">
      <c r="A36">
        <v>35</v>
      </c>
      <c r="B36" s="3">
        <v>766</v>
      </c>
      <c r="D36" t="s">
        <v>40</v>
      </c>
      <c r="E36" s="2">
        <v>1642891220</v>
      </c>
      <c r="F36" s="2">
        <v>2072406</v>
      </c>
      <c r="G36" s="5">
        <v>2.6805555555555555E-2</v>
      </c>
      <c r="H36">
        <v>39</v>
      </c>
    </row>
    <row r="37" spans="1:8" x14ac:dyDescent="0.25">
      <c r="A37">
        <v>36</v>
      </c>
      <c r="B37" s="3">
        <v>818</v>
      </c>
      <c r="D37" t="s">
        <v>41</v>
      </c>
      <c r="E37" s="2">
        <v>1557991705</v>
      </c>
      <c r="F37" s="2">
        <v>1250744</v>
      </c>
      <c r="G37" s="5">
        <v>4.0173611111111111E-2</v>
      </c>
      <c r="H37">
        <v>58</v>
      </c>
    </row>
    <row r="38" spans="1:8" x14ac:dyDescent="0.25">
      <c r="A38">
        <v>37</v>
      </c>
      <c r="B38" s="3">
        <v>850</v>
      </c>
      <c r="D38" t="s">
        <v>42</v>
      </c>
      <c r="E38" s="2">
        <v>1508534352</v>
      </c>
      <c r="F38" s="2">
        <v>3302478</v>
      </c>
      <c r="G38" s="5">
        <v>1.2233796296296296E-2</v>
      </c>
      <c r="H38">
        <v>18</v>
      </c>
    </row>
    <row r="39" spans="1:8" x14ac:dyDescent="0.25">
      <c r="A39">
        <v>38</v>
      </c>
      <c r="B39" s="3">
        <v>858</v>
      </c>
      <c r="D39" t="s">
        <v>43</v>
      </c>
      <c r="E39" s="2">
        <v>1498629419</v>
      </c>
      <c r="F39" s="2">
        <v>1453012</v>
      </c>
      <c r="G39" s="5">
        <v>2.6261574074074073E-2</v>
      </c>
      <c r="H39">
        <v>38</v>
      </c>
    </row>
    <row r="40" spans="1:8" x14ac:dyDescent="0.25">
      <c r="A40">
        <v>39</v>
      </c>
      <c r="B40" s="3">
        <v>899</v>
      </c>
      <c r="D40" t="s">
        <v>44</v>
      </c>
      <c r="E40" s="2">
        <v>1448556426</v>
      </c>
      <c r="F40" s="2">
        <v>1808366</v>
      </c>
      <c r="G40" s="5">
        <v>4.8611111111111112E-2</v>
      </c>
      <c r="H40">
        <v>70</v>
      </c>
    </row>
    <row r="41" spans="1:8" x14ac:dyDescent="0.25">
      <c r="A41">
        <v>40</v>
      </c>
      <c r="B41" s="3">
        <v>926</v>
      </c>
      <c r="D41" t="s">
        <v>45</v>
      </c>
      <c r="E41" s="2">
        <v>1415861408</v>
      </c>
      <c r="F41" s="2">
        <v>1563857</v>
      </c>
      <c r="G41" s="5">
        <v>3.2754629629629627E-2</v>
      </c>
      <c r="H41">
        <v>47</v>
      </c>
    </row>
    <row r="42" spans="1:8" x14ac:dyDescent="0.25">
      <c r="A42">
        <v>41</v>
      </c>
      <c r="B42" s="3">
        <v>948</v>
      </c>
      <c r="D42" t="s">
        <v>46</v>
      </c>
      <c r="E42" s="2">
        <v>1385403310</v>
      </c>
      <c r="F42" s="2">
        <v>2248260</v>
      </c>
      <c r="G42" s="5">
        <v>8.4837962962962966E-3</v>
      </c>
      <c r="H42">
        <v>12</v>
      </c>
    </row>
    <row r="43" spans="1:8" x14ac:dyDescent="0.25">
      <c r="A43">
        <v>42</v>
      </c>
      <c r="B43" s="3">
        <v>951</v>
      </c>
      <c r="D43" t="s">
        <v>47</v>
      </c>
      <c r="E43" s="2">
        <v>1383411521</v>
      </c>
      <c r="F43" s="2">
        <v>1061645</v>
      </c>
      <c r="G43" s="5">
        <v>1.5636574074074074E-2</v>
      </c>
      <c r="H43">
        <v>23</v>
      </c>
    </row>
    <row r="44" spans="1:8" x14ac:dyDescent="0.25">
      <c r="A44">
        <v>43</v>
      </c>
      <c r="B44" s="3">
        <v>974</v>
      </c>
      <c r="D44" t="s">
        <v>48</v>
      </c>
      <c r="E44" s="2">
        <v>1367265954</v>
      </c>
      <c r="F44" s="2">
        <v>1066357</v>
      </c>
      <c r="G44" s="5">
        <v>6.0416666666666667E-2</v>
      </c>
      <c r="H44">
        <v>87</v>
      </c>
    </row>
    <row r="45" spans="1:8" x14ac:dyDescent="0.25">
      <c r="A45">
        <v>44</v>
      </c>
      <c r="B45" s="3">
        <v>978</v>
      </c>
      <c r="D45" t="s">
        <v>49</v>
      </c>
      <c r="E45" s="2">
        <v>1361639274</v>
      </c>
      <c r="F45" s="2">
        <v>2584022</v>
      </c>
      <c r="G45" s="5">
        <v>3.8090277777777778E-2</v>
      </c>
      <c r="H45">
        <v>55</v>
      </c>
    </row>
    <row r="46" spans="1:8" x14ac:dyDescent="0.25">
      <c r="A46">
        <v>45</v>
      </c>
      <c r="B46" s="3">
        <v>981</v>
      </c>
      <c r="D46" t="s">
        <v>50</v>
      </c>
      <c r="E46" s="2">
        <v>1353459828</v>
      </c>
      <c r="F46" s="2">
        <v>1170968</v>
      </c>
      <c r="G46" s="5">
        <v>5.0694444444444445E-2</v>
      </c>
      <c r="H46">
        <v>73</v>
      </c>
    </row>
    <row r="47" spans="1:8" x14ac:dyDescent="0.25">
      <c r="A47">
        <v>46</v>
      </c>
      <c r="B47" s="2">
        <v>1000</v>
      </c>
      <c r="D47" t="s">
        <v>51</v>
      </c>
      <c r="E47" s="2">
        <v>1336677729</v>
      </c>
      <c r="F47" s="2">
        <v>831784</v>
      </c>
      <c r="G47" s="5">
        <v>2.2280092592592591E-2</v>
      </c>
      <c r="H47">
        <v>32</v>
      </c>
    </row>
    <row r="48" spans="1:8" x14ac:dyDescent="0.25">
      <c r="A48">
        <v>47</v>
      </c>
      <c r="B48" s="2">
        <v>1029</v>
      </c>
      <c r="D48" t="s">
        <v>52</v>
      </c>
      <c r="E48" s="2">
        <v>1311772328</v>
      </c>
      <c r="F48" s="2">
        <v>1648932</v>
      </c>
      <c r="G48" s="5">
        <v>3.5960648148148151E-2</v>
      </c>
      <c r="H48">
        <v>52</v>
      </c>
    </row>
    <row r="49" spans="1:8" x14ac:dyDescent="0.25">
      <c r="A49">
        <v>48</v>
      </c>
      <c r="B49" s="2">
        <v>1046</v>
      </c>
      <c r="D49" t="s">
        <v>53</v>
      </c>
      <c r="E49" s="2">
        <v>1295315080</v>
      </c>
      <c r="F49" s="2">
        <v>1720567</v>
      </c>
      <c r="G49" s="5">
        <v>2.7199074074074073E-2</v>
      </c>
      <c r="H49">
        <v>39</v>
      </c>
    </row>
    <row r="50" spans="1:8" x14ac:dyDescent="0.25">
      <c r="A50">
        <v>49</v>
      </c>
      <c r="B50" s="2">
        <v>1076</v>
      </c>
      <c r="D50" t="s">
        <v>54</v>
      </c>
      <c r="E50" s="2">
        <v>1266408927</v>
      </c>
      <c r="F50" s="2">
        <v>4987927</v>
      </c>
      <c r="G50" s="5">
        <v>4.1666666666666664E-2</v>
      </c>
      <c r="H50">
        <v>60</v>
      </c>
    </row>
    <row r="51" spans="1:8" x14ac:dyDescent="0.25">
      <c r="A51">
        <v>50</v>
      </c>
      <c r="B51" s="2">
        <v>1116</v>
      </c>
      <c r="D51" t="s">
        <v>55</v>
      </c>
      <c r="E51" s="2">
        <v>1233795732</v>
      </c>
      <c r="F51" s="2">
        <v>2836527</v>
      </c>
      <c r="G51" s="5">
        <v>4.583333333333333E-2</v>
      </c>
      <c r="H51">
        <v>66</v>
      </c>
    </row>
    <row r="52" spans="1:8" x14ac:dyDescent="0.25">
      <c r="A52">
        <v>51</v>
      </c>
      <c r="B52" s="2">
        <v>1121</v>
      </c>
      <c r="D52" t="s">
        <v>72</v>
      </c>
      <c r="E52" s="2">
        <v>1229627313</v>
      </c>
      <c r="F52" s="2">
        <v>2117256</v>
      </c>
      <c r="H52">
        <v>30</v>
      </c>
    </row>
    <row r="53" spans="1:8" x14ac:dyDescent="0.25">
      <c r="A53">
        <v>52</v>
      </c>
      <c r="B53" s="2">
        <v>1135</v>
      </c>
      <c r="D53" t="s">
        <v>73</v>
      </c>
      <c r="E53" s="2">
        <v>1213711818</v>
      </c>
      <c r="F53" s="2">
        <v>504409</v>
      </c>
      <c r="H53">
        <v>34</v>
      </c>
    </row>
    <row r="54" spans="1:8" x14ac:dyDescent="0.25">
      <c r="A54">
        <v>53</v>
      </c>
      <c r="B54" s="2">
        <v>1141</v>
      </c>
      <c r="D54" t="s">
        <v>74</v>
      </c>
      <c r="E54" s="2">
        <v>1208402421</v>
      </c>
      <c r="F54" s="2">
        <v>1916153</v>
      </c>
      <c r="H54">
        <v>53</v>
      </c>
    </row>
    <row r="55" spans="1:8" x14ac:dyDescent="0.25">
      <c r="A55">
        <v>54</v>
      </c>
      <c r="B55" s="2">
        <v>1167</v>
      </c>
      <c r="D55" t="s">
        <v>75</v>
      </c>
      <c r="E55" s="2">
        <v>1188789608</v>
      </c>
      <c r="F55" s="2">
        <v>1532663</v>
      </c>
      <c r="H55">
        <v>40</v>
      </c>
    </row>
    <row r="56" spans="1:8" x14ac:dyDescent="0.25">
      <c r="A56">
        <v>55</v>
      </c>
      <c r="B56" s="2">
        <v>1170</v>
      </c>
      <c r="D56" t="s">
        <v>76</v>
      </c>
      <c r="E56" s="2">
        <v>1187710529</v>
      </c>
      <c r="F56" s="2">
        <v>326978</v>
      </c>
      <c r="H56">
        <v>51</v>
      </c>
    </row>
    <row r="57" spans="1:8" x14ac:dyDescent="0.25">
      <c r="A57">
        <v>56</v>
      </c>
      <c r="B57" s="2">
        <v>1213</v>
      </c>
      <c r="D57" t="s">
        <v>77</v>
      </c>
      <c r="E57" s="2">
        <v>1147125945</v>
      </c>
      <c r="F57" s="2">
        <v>1241668</v>
      </c>
      <c r="H57">
        <v>43</v>
      </c>
    </row>
    <row r="58" spans="1:8" x14ac:dyDescent="0.25">
      <c r="A58">
        <v>57</v>
      </c>
      <c r="B58" s="2">
        <v>1227</v>
      </c>
      <c r="D58" t="s">
        <v>78</v>
      </c>
      <c r="E58" s="2">
        <v>1140244459</v>
      </c>
      <c r="F58" s="2">
        <v>2651626</v>
      </c>
      <c r="H58">
        <v>32</v>
      </c>
    </row>
    <row r="59" spans="1:8" x14ac:dyDescent="0.25">
      <c r="A59">
        <v>58</v>
      </c>
      <c r="B59" s="2">
        <v>1235</v>
      </c>
      <c r="D59" t="s">
        <v>79</v>
      </c>
      <c r="E59" s="2">
        <v>1128949507</v>
      </c>
      <c r="F59" s="2">
        <v>7279588</v>
      </c>
      <c r="H59">
        <v>62</v>
      </c>
    </row>
    <row r="60" spans="1:8" x14ac:dyDescent="0.25">
      <c r="A60">
        <v>59</v>
      </c>
      <c r="B60" s="2">
        <v>1238</v>
      </c>
      <c r="D60" t="s">
        <v>80</v>
      </c>
      <c r="E60" s="2">
        <v>1126422629</v>
      </c>
      <c r="F60" s="2">
        <v>748736</v>
      </c>
      <c r="H60">
        <v>45</v>
      </c>
    </row>
    <row r="61" spans="1:8" x14ac:dyDescent="0.25">
      <c r="A61">
        <v>60</v>
      </c>
      <c r="B61" s="2">
        <v>1240</v>
      </c>
      <c r="D61" t="s">
        <v>81</v>
      </c>
      <c r="E61" s="2">
        <v>1123698892</v>
      </c>
      <c r="F61" s="2">
        <v>2877885</v>
      </c>
      <c r="H61">
        <v>20</v>
      </c>
    </row>
    <row r="62" spans="1:8" x14ac:dyDescent="0.25">
      <c r="A62">
        <v>61</v>
      </c>
      <c r="B62" s="2">
        <v>1254</v>
      </c>
      <c r="D62" t="s">
        <v>82</v>
      </c>
      <c r="E62" s="2">
        <v>1115309630</v>
      </c>
      <c r="F62" s="2">
        <v>959470</v>
      </c>
      <c r="H62">
        <v>32</v>
      </c>
    </row>
    <row r="63" spans="1:8" x14ac:dyDescent="0.25">
      <c r="A63">
        <v>62</v>
      </c>
      <c r="B63" s="2">
        <v>1264</v>
      </c>
      <c r="D63" t="s">
        <v>83</v>
      </c>
      <c r="E63" s="2">
        <v>1109060707</v>
      </c>
      <c r="F63" s="2">
        <v>1833770</v>
      </c>
      <c r="H63">
        <v>77</v>
      </c>
    </row>
    <row r="64" spans="1:8" x14ac:dyDescent="0.25">
      <c r="A64">
        <v>63</v>
      </c>
      <c r="B64" s="2">
        <v>1311</v>
      </c>
      <c r="D64" t="s">
        <v>84</v>
      </c>
      <c r="E64" s="2">
        <v>1076599989</v>
      </c>
      <c r="F64" s="2">
        <v>1306823</v>
      </c>
      <c r="H64">
        <v>45</v>
      </c>
    </row>
    <row r="65" spans="1:8" x14ac:dyDescent="0.25">
      <c r="A65">
        <v>64</v>
      </c>
      <c r="B65" s="2">
        <v>1348</v>
      </c>
      <c r="D65" t="s">
        <v>85</v>
      </c>
      <c r="E65" s="2">
        <v>1054361947</v>
      </c>
      <c r="F65" s="2">
        <v>806143</v>
      </c>
      <c r="H65">
        <v>55</v>
      </c>
    </row>
    <row r="66" spans="1:8" x14ac:dyDescent="0.25">
      <c r="A66">
        <v>65</v>
      </c>
      <c r="B66" s="2">
        <v>1356</v>
      </c>
      <c r="D66" t="s">
        <v>86</v>
      </c>
      <c r="E66" s="2">
        <v>1048249971</v>
      </c>
      <c r="F66" s="2">
        <v>1242441</v>
      </c>
      <c r="H66">
        <v>19</v>
      </c>
    </row>
    <row r="67" spans="1:8" x14ac:dyDescent="0.25">
      <c r="A67">
        <v>66</v>
      </c>
      <c r="B67" s="2">
        <v>1372</v>
      </c>
      <c r="D67" t="s">
        <v>87</v>
      </c>
      <c r="E67" s="2">
        <v>1040461823</v>
      </c>
      <c r="F67" s="2">
        <v>863689</v>
      </c>
      <c r="H67">
        <v>19</v>
      </c>
    </row>
    <row r="68" spans="1:8" x14ac:dyDescent="0.25">
      <c r="A68">
        <v>67</v>
      </c>
      <c r="B68" s="2">
        <v>1388</v>
      </c>
      <c r="D68" t="s">
        <v>88</v>
      </c>
      <c r="E68" s="2">
        <v>1031474191</v>
      </c>
      <c r="F68" s="2">
        <v>1914348</v>
      </c>
      <c r="H68">
        <v>54</v>
      </c>
    </row>
    <row r="69" spans="1:8" x14ac:dyDescent="0.25">
      <c r="A69">
        <v>68</v>
      </c>
      <c r="B69" s="2">
        <v>1390</v>
      </c>
      <c r="D69" t="s">
        <v>89</v>
      </c>
      <c r="E69" s="2">
        <v>1031383546</v>
      </c>
      <c r="F69" s="2">
        <v>979186</v>
      </c>
      <c r="H69">
        <v>19</v>
      </c>
    </row>
    <row r="70" spans="1:8" x14ac:dyDescent="0.25">
      <c r="A70">
        <v>69</v>
      </c>
      <c r="B70" s="2">
        <v>1397</v>
      </c>
      <c r="D70" t="s">
        <v>90</v>
      </c>
      <c r="E70" s="2">
        <v>1025928426</v>
      </c>
      <c r="F70" s="2">
        <v>1743544</v>
      </c>
      <c r="H70">
        <v>51</v>
      </c>
    </row>
    <row r="71" spans="1:8" x14ac:dyDescent="0.25">
      <c r="A71">
        <v>70</v>
      </c>
      <c r="B71" s="2">
        <v>1400</v>
      </c>
      <c r="D71" t="s">
        <v>91</v>
      </c>
      <c r="E71" s="2">
        <v>1023611195</v>
      </c>
      <c r="F71" s="2">
        <v>1130256</v>
      </c>
      <c r="H71">
        <v>47</v>
      </c>
    </row>
    <row r="72" spans="1:8" x14ac:dyDescent="0.25">
      <c r="A72">
        <v>71</v>
      </c>
      <c r="B72" s="2">
        <v>1413</v>
      </c>
      <c r="D72" t="s">
        <v>92</v>
      </c>
      <c r="E72" s="2">
        <v>1012284275</v>
      </c>
      <c r="F72" s="2">
        <v>727469</v>
      </c>
      <c r="H72">
        <v>44</v>
      </c>
    </row>
    <row r="73" spans="1:8" x14ac:dyDescent="0.25">
      <c r="A73">
        <v>72</v>
      </c>
      <c r="B73" s="2">
        <v>1459</v>
      </c>
      <c r="D73" t="s">
        <v>93</v>
      </c>
      <c r="E73" s="2">
        <v>985391255</v>
      </c>
      <c r="F73" s="2">
        <v>783722</v>
      </c>
      <c r="H73">
        <v>34</v>
      </c>
    </row>
    <row r="74" spans="1:8" x14ac:dyDescent="0.25">
      <c r="A74">
        <v>73</v>
      </c>
      <c r="B74" s="2">
        <v>1525</v>
      </c>
      <c r="D74" t="s">
        <v>94</v>
      </c>
      <c r="E74" s="2">
        <v>948989190</v>
      </c>
      <c r="F74" s="2">
        <v>732404</v>
      </c>
      <c r="H74">
        <v>16</v>
      </c>
    </row>
    <row r="75" spans="1:8" x14ac:dyDescent="0.25">
      <c r="A75">
        <v>74</v>
      </c>
      <c r="B75" s="2">
        <v>1531</v>
      </c>
      <c r="D75" t="s">
        <v>95</v>
      </c>
      <c r="E75" s="2">
        <v>942904609</v>
      </c>
      <c r="F75" s="2">
        <v>500551</v>
      </c>
      <c r="H75">
        <v>55</v>
      </c>
    </row>
    <row r="76" spans="1:8" x14ac:dyDescent="0.25">
      <c r="A76">
        <v>75</v>
      </c>
      <c r="B76" s="2">
        <v>1540</v>
      </c>
      <c r="D76" t="s">
        <v>96</v>
      </c>
      <c r="E76" s="2">
        <v>938682018</v>
      </c>
      <c r="F76" s="2">
        <v>2025677</v>
      </c>
      <c r="H76">
        <v>46</v>
      </c>
    </row>
    <row r="77" spans="1:8" x14ac:dyDescent="0.25">
      <c r="A77">
        <v>76</v>
      </c>
      <c r="B77" s="2">
        <v>1552</v>
      </c>
      <c r="D77" t="s">
        <v>97</v>
      </c>
      <c r="E77" s="2">
        <v>932806864</v>
      </c>
      <c r="F77" s="2">
        <v>889054</v>
      </c>
      <c r="H77">
        <v>43</v>
      </c>
    </row>
    <row r="78" spans="1:8" x14ac:dyDescent="0.25">
      <c r="A78">
        <v>77</v>
      </c>
      <c r="B78" s="2">
        <v>1560</v>
      </c>
      <c r="D78" t="s">
        <v>98</v>
      </c>
      <c r="E78" s="2">
        <v>928021239</v>
      </c>
      <c r="F78" s="2">
        <v>1498631</v>
      </c>
      <c r="H78">
        <v>45</v>
      </c>
    </row>
    <row r="79" spans="1:8" x14ac:dyDescent="0.25">
      <c r="A79">
        <v>78</v>
      </c>
      <c r="B79" s="2">
        <v>1615</v>
      </c>
      <c r="D79" t="s">
        <v>99</v>
      </c>
      <c r="E79" s="2">
        <v>902624439</v>
      </c>
      <c r="F79" s="2">
        <v>2896654</v>
      </c>
      <c r="H79">
        <v>28</v>
      </c>
    </row>
    <row r="80" spans="1:8" x14ac:dyDescent="0.25">
      <c r="A80">
        <v>79</v>
      </c>
      <c r="B80" s="2">
        <v>1621</v>
      </c>
      <c r="D80" t="s">
        <v>100</v>
      </c>
      <c r="E80" s="2">
        <v>897122483</v>
      </c>
      <c r="F80" s="2">
        <v>6341044</v>
      </c>
      <c r="H80">
        <v>31</v>
      </c>
    </row>
    <row r="81" spans="1:8" x14ac:dyDescent="0.25">
      <c r="A81">
        <v>80</v>
      </c>
      <c r="B81" s="2">
        <v>1635</v>
      </c>
      <c r="D81" t="s">
        <v>101</v>
      </c>
      <c r="E81" s="2">
        <v>887841451</v>
      </c>
      <c r="F81" s="2">
        <v>1054456</v>
      </c>
      <c r="H81">
        <v>16</v>
      </c>
    </row>
    <row r="82" spans="1:8" x14ac:dyDescent="0.25">
      <c r="A82">
        <v>81</v>
      </c>
      <c r="B82" s="2">
        <v>1650</v>
      </c>
      <c r="D82" t="s">
        <v>102</v>
      </c>
      <c r="E82" s="2">
        <v>881905297</v>
      </c>
      <c r="F82" s="2">
        <v>1539326</v>
      </c>
      <c r="H82">
        <v>55</v>
      </c>
    </row>
    <row r="83" spans="1:8" x14ac:dyDescent="0.25">
      <c r="A83">
        <v>82</v>
      </c>
      <c r="B83" s="2">
        <v>1684</v>
      </c>
      <c r="D83" t="s">
        <v>103</v>
      </c>
      <c r="E83" s="2">
        <v>869922362</v>
      </c>
      <c r="F83" s="2">
        <v>1140100</v>
      </c>
      <c r="H83">
        <v>70</v>
      </c>
    </row>
    <row r="84" spans="1:8" x14ac:dyDescent="0.25">
      <c r="A84">
        <v>83</v>
      </c>
      <c r="B84" s="2">
        <v>1725</v>
      </c>
      <c r="D84" t="s">
        <v>104</v>
      </c>
      <c r="E84" s="2">
        <v>854882179</v>
      </c>
      <c r="F84" s="2">
        <v>1245512</v>
      </c>
      <c r="H84">
        <v>52</v>
      </c>
    </row>
    <row r="85" spans="1:8" x14ac:dyDescent="0.25">
      <c r="A85">
        <v>84</v>
      </c>
      <c r="B85" s="2">
        <v>1769</v>
      </c>
      <c r="D85" t="s">
        <v>105</v>
      </c>
      <c r="E85" s="2">
        <v>834636790</v>
      </c>
      <c r="F85" s="2">
        <v>1119829</v>
      </c>
      <c r="H85">
        <v>32</v>
      </c>
    </row>
    <row r="86" spans="1:8" x14ac:dyDescent="0.25">
      <c r="A86">
        <v>85</v>
      </c>
      <c r="B86" s="2">
        <v>1809</v>
      </c>
      <c r="D86" t="s">
        <v>106</v>
      </c>
      <c r="E86" s="2">
        <v>820430803</v>
      </c>
      <c r="F86" s="2">
        <v>783053</v>
      </c>
      <c r="H86">
        <v>129</v>
      </c>
    </row>
    <row r="87" spans="1:8" x14ac:dyDescent="0.25">
      <c r="A87">
        <v>86</v>
      </c>
      <c r="B87" s="2">
        <v>1814</v>
      </c>
      <c r="D87" t="s">
        <v>107</v>
      </c>
      <c r="E87" s="2">
        <v>818945119</v>
      </c>
      <c r="F87" s="2">
        <v>1138005</v>
      </c>
      <c r="H87">
        <v>32</v>
      </c>
    </row>
    <row r="88" spans="1:8" x14ac:dyDescent="0.25">
      <c r="A88">
        <v>87</v>
      </c>
      <c r="B88" s="2">
        <v>1831</v>
      </c>
      <c r="D88" t="s">
        <v>108</v>
      </c>
      <c r="E88" s="2">
        <v>812554387</v>
      </c>
      <c r="F88" s="2">
        <v>491004</v>
      </c>
      <c r="H88">
        <v>23</v>
      </c>
    </row>
    <row r="89" spans="1:8" x14ac:dyDescent="0.25">
      <c r="A89">
        <v>88</v>
      </c>
      <c r="B89" s="2">
        <v>1871</v>
      </c>
      <c r="D89" t="s">
        <v>109</v>
      </c>
      <c r="E89" s="2">
        <v>799334204</v>
      </c>
      <c r="F89" s="2">
        <v>1595820</v>
      </c>
      <c r="H89">
        <v>36</v>
      </c>
    </row>
    <row r="90" spans="1:8" x14ac:dyDescent="0.25">
      <c r="A90">
        <v>89</v>
      </c>
      <c r="B90" s="2">
        <v>1886</v>
      </c>
      <c r="D90" t="s">
        <v>110</v>
      </c>
      <c r="E90" s="2">
        <v>795550907</v>
      </c>
      <c r="F90" s="2">
        <v>1159814</v>
      </c>
      <c r="H90">
        <v>48</v>
      </c>
    </row>
    <row r="91" spans="1:8" x14ac:dyDescent="0.25">
      <c r="A91">
        <v>90</v>
      </c>
      <c r="B91" s="2">
        <v>1910</v>
      </c>
      <c r="D91" t="s">
        <v>111</v>
      </c>
      <c r="E91" s="2">
        <v>786824156</v>
      </c>
      <c r="F91" s="2">
        <v>502705</v>
      </c>
      <c r="H91">
        <v>58</v>
      </c>
    </row>
    <row r="92" spans="1:8" x14ac:dyDescent="0.25">
      <c r="A92">
        <v>91</v>
      </c>
      <c r="B92" s="2">
        <v>1941</v>
      </c>
      <c r="D92" t="s">
        <v>112</v>
      </c>
      <c r="E92" s="2">
        <v>776124395</v>
      </c>
      <c r="F92" s="2">
        <v>903876</v>
      </c>
      <c r="H92">
        <v>38</v>
      </c>
    </row>
    <row r="93" spans="1:8" x14ac:dyDescent="0.25">
      <c r="A93">
        <v>92</v>
      </c>
      <c r="B93" s="2">
        <v>1959</v>
      </c>
      <c r="D93" t="s">
        <v>113</v>
      </c>
      <c r="E93" s="2">
        <v>768603571</v>
      </c>
      <c r="F93" s="2">
        <v>2982421</v>
      </c>
      <c r="H93">
        <v>48</v>
      </c>
    </row>
    <row r="94" spans="1:8" x14ac:dyDescent="0.25">
      <c r="A94">
        <v>93</v>
      </c>
      <c r="B94" s="2">
        <v>1960</v>
      </c>
      <c r="D94" t="s">
        <v>114</v>
      </c>
      <c r="E94" s="2">
        <v>768113224</v>
      </c>
      <c r="F94" s="2">
        <v>675268</v>
      </c>
      <c r="H94">
        <v>51</v>
      </c>
    </row>
    <row r="95" spans="1:8" x14ac:dyDescent="0.25">
      <c r="A95">
        <v>94</v>
      </c>
      <c r="B95" s="2">
        <v>1967</v>
      </c>
      <c r="D95" t="s">
        <v>115</v>
      </c>
      <c r="E95" s="2">
        <v>764820189</v>
      </c>
      <c r="F95" s="2">
        <v>1185717</v>
      </c>
      <c r="H95">
        <v>71</v>
      </c>
    </row>
    <row r="96" spans="1:8" x14ac:dyDescent="0.25">
      <c r="A96">
        <v>95</v>
      </c>
      <c r="B96" s="2">
        <v>2007</v>
      </c>
      <c r="D96" t="s">
        <v>116</v>
      </c>
      <c r="E96" s="2">
        <v>750291531</v>
      </c>
      <c r="F96" s="2">
        <v>970961</v>
      </c>
      <c r="H96">
        <v>30</v>
      </c>
    </row>
    <row r="97" spans="1:8" x14ac:dyDescent="0.25">
      <c r="A97">
        <v>96</v>
      </c>
      <c r="B97" s="2">
        <v>2061</v>
      </c>
      <c r="D97" t="s">
        <v>117</v>
      </c>
      <c r="E97" s="2">
        <v>735713950</v>
      </c>
      <c r="F97" s="2">
        <v>580322</v>
      </c>
      <c r="H97">
        <v>61</v>
      </c>
    </row>
    <row r="98" spans="1:8" x14ac:dyDescent="0.25">
      <c r="A98">
        <v>97</v>
      </c>
      <c r="B98" s="2">
        <v>2096</v>
      </c>
      <c r="D98" t="s">
        <v>118</v>
      </c>
      <c r="E98" s="2">
        <v>721614793</v>
      </c>
      <c r="F98" s="2">
        <v>1537381</v>
      </c>
      <c r="H98">
        <v>38</v>
      </c>
    </row>
    <row r="99" spans="1:8" x14ac:dyDescent="0.25">
      <c r="A99">
        <v>98</v>
      </c>
      <c r="B99" s="2">
        <v>2101</v>
      </c>
      <c r="D99" t="s">
        <v>119</v>
      </c>
      <c r="E99" s="2">
        <v>719737578</v>
      </c>
      <c r="F99" s="2">
        <v>595923</v>
      </c>
      <c r="H99">
        <v>11</v>
      </c>
    </row>
    <row r="100" spans="1:8" x14ac:dyDescent="0.25">
      <c r="A100">
        <v>99</v>
      </c>
      <c r="B100" s="2">
        <v>2112</v>
      </c>
      <c r="D100" t="s">
        <v>120</v>
      </c>
      <c r="E100" s="2">
        <v>717428637</v>
      </c>
      <c r="F100" s="2">
        <v>1625793</v>
      </c>
      <c r="H100">
        <v>27</v>
      </c>
    </row>
    <row r="101" spans="1:8" x14ac:dyDescent="0.25">
      <c r="A101">
        <v>100</v>
      </c>
      <c r="B101" s="2">
        <v>2117</v>
      </c>
      <c r="D101" t="s">
        <v>121</v>
      </c>
      <c r="E101" s="2">
        <v>715962208</v>
      </c>
      <c r="F101" s="2">
        <v>900991</v>
      </c>
      <c r="H101">
        <v>44</v>
      </c>
    </row>
    <row r="102" spans="1:8" x14ac:dyDescent="0.25">
      <c r="H102">
        <f>SUM(H2:H101)</f>
        <v>4670</v>
      </c>
    </row>
  </sheetData>
  <mergeCells count="1">
    <mergeCell ref="J1:L2"/>
  </mergeCells>
  <conditionalFormatting sqref="H2:H101">
    <cfRule type="cellIs" dxfId="0" priority="1" operator="between">
      <formula>119</formula>
      <formula>129</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A2375-426A-412D-B397-66E1862B5901}">
  <sheetPr>
    <pageSetUpPr fitToPage="1"/>
  </sheetPr>
  <dimension ref="A1:AA42"/>
  <sheetViews>
    <sheetView tabSelected="1" topLeftCell="D16" zoomScale="103" zoomScaleNormal="80" workbookViewId="0">
      <selection activeCell="R40" sqref="R40"/>
    </sheetView>
  </sheetViews>
  <sheetFormatPr defaultRowHeight="15" x14ac:dyDescent="0.25"/>
  <cols>
    <col min="1" max="1" width="6.7109375" customWidth="1"/>
    <col min="2" max="2" width="18" customWidth="1"/>
    <col min="3" max="3" width="8.42578125" customWidth="1"/>
    <col min="4" max="4" width="7.7109375" customWidth="1"/>
    <col min="5" max="5" width="17.42578125" bestFit="1" customWidth="1"/>
    <col min="6" max="6" width="7.7109375" customWidth="1"/>
    <col min="8" max="8" width="17.42578125" bestFit="1" customWidth="1"/>
    <col min="14" max="14" width="4.42578125" customWidth="1"/>
    <col min="15" max="15" width="23.28515625" bestFit="1" customWidth="1"/>
    <col min="16" max="16" width="5" bestFit="1" customWidth="1"/>
    <col min="17" max="17" width="9.7109375" customWidth="1"/>
    <col min="18" max="18" width="6.85546875" customWidth="1"/>
    <col min="22" max="22" width="18.7109375" bestFit="1" customWidth="1"/>
    <col min="24" max="24" width="15" customWidth="1"/>
    <col min="26" max="26" width="11.42578125" customWidth="1"/>
  </cols>
  <sheetData>
    <row r="1" spans="1:27" ht="61.15" customHeight="1" x14ac:dyDescent="0.25">
      <c r="A1" s="140" t="s">
        <v>248</v>
      </c>
      <c r="B1" s="140"/>
      <c r="C1" s="140"/>
      <c r="D1" s="140"/>
      <c r="E1" s="140"/>
      <c r="F1" s="140"/>
    </row>
    <row r="4" spans="1:27" x14ac:dyDescent="0.25">
      <c r="B4" s="23" t="s">
        <v>70</v>
      </c>
      <c r="C4" s="24" t="s">
        <v>71</v>
      </c>
      <c r="D4" s="7"/>
    </row>
    <row r="5" spans="1:27" x14ac:dyDescent="0.25">
      <c r="B5" s="25" t="s">
        <v>122</v>
      </c>
      <c r="C5" s="26">
        <v>10</v>
      </c>
      <c r="D5" s="9"/>
      <c r="E5" s="168" t="s">
        <v>133</v>
      </c>
      <c r="V5" s="8" t="str">
        <f>'Surowe dane'!J3</f>
        <v>Wartość minimalna</v>
      </c>
      <c r="W5">
        <f>'Surowe dane'!L4</f>
        <v>11</v>
      </c>
    </row>
    <row r="6" spans="1:27" ht="14.45" customHeight="1" x14ac:dyDescent="0.25">
      <c r="B6" s="27" t="s">
        <v>123</v>
      </c>
      <c r="C6" s="26">
        <v>21</v>
      </c>
      <c r="D6" s="7"/>
      <c r="E6" s="145"/>
      <c r="V6" s="8" t="str">
        <f>O24</f>
        <v>Kwartyl 1</v>
      </c>
      <c r="W6">
        <f>Q24</f>
        <v>30.571428571428569</v>
      </c>
      <c r="Y6" s="141" t="s">
        <v>244</v>
      </c>
      <c r="Z6" s="142"/>
      <c r="AA6" s="143"/>
    </row>
    <row r="7" spans="1:27" x14ac:dyDescent="0.25">
      <c r="B7" s="27" t="s">
        <v>124</v>
      </c>
      <c r="C7" s="26">
        <v>24</v>
      </c>
      <c r="D7" s="9"/>
      <c r="E7" s="145"/>
      <c r="R7" s="42" t="s">
        <v>66</v>
      </c>
      <c r="S7" s="41">
        <f>W9</f>
        <v>129</v>
      </c>
      <c r="V7" s="8" t="str">
        <f>O23</f>
        <v>Mediana</v>
      </c>
      <c r="W7">
        <f>Q23</f>
        <v>43.5</v>
      </c>
      <c r="Y7" s="144"/>
      <c r="Z7" s="145"/>
      <c r="AA7" s="146"/>
    </row>
    <row r="8" spans="1:27" x14ac:dyDescent="0.25">
      <c r="B8" s="27" t="s">
        <v>125</v>
      </c>
      <c r="C8" s="26">
        <v>25</v>
      </c>
      <c r="E8" s="145"/>
      <c r="R8" s="8"/>
      <c r="S8" s="7"/>
      <c r="V8" s="8" t="str">
        <f>O25</f>
        <v>Kwartyl 3</v>
      </c>
      <c r="W8">
        <f>Q25</f>
        <v>55.6</v>
      </c>
      <c r="Y8" s="144"/>
      <c r="Z8" s="145"/>
      <c r="AA8" s="146"/>
    </row>
    <row r="9" spans="1:27" x14ac:dyDescent="0.25">
      <c r="B9" s="27" t="s">
        <v>126</v>
      </c>
      <c r="C9" s="26">
        <v>7</v>
      </c>
      <c r="E9" s="145"/>
      <c r="R9" s="8"/>
      <c r="S9" s="7"/>
      <c r="V9" s="8" t="str">
        <f>'Surowe dane'!J4</f>
        <v>Wartość maksymalna</v>
      </c>
      <c r="W9">
        <f>'Surowe dane'!L3</f>
        <v>129</v>
      </c>
      <c r="Y9" s="144"/>
      <c r="Z9" s="145"/>
      <c r="AA9" s="146"/>
    </row>
    <row r="10" spans="1:27" x14ac:dyDescent="0.25">
      <c r="B10" s="27" t="s">
        <v>127</v>
      </c>
      <c r="C10" s="26">
        <v>8</v>
      </c>
      <c r="E10" s="145"/>
      <c r="R10" s="8"/>
      <c r="S10" s="7"/>
      <c r="Y10" s="144"/>
      <c r="Z10" s="145"/>
      <c r="AA10" s="146"/>
    </row>
    <row r="11" spans="1:27" x14ac:dyDescent="0.25">
      <c r="B11" s="27" t="s">
        <v>128</v>
      </c>
      <c r="C11" s="26">
        <v>2</v>
      </c>
      <c r="E11" s="145"/>
      <c r="H11" s="10"/>
      <c r="R11" s="8"/>
      <c r="S11" s="7"/>
      <c r="V11" t="str">
        <f>V5</f>
        <v>Wartość minimalna</v>
      </c>
      <c r="W11">
        <f>W5</f>
        <v>11</v>
      </c>
      <c r="Y11" s="144"/>
      <c r="Z11" s="145"/>
      <c r="AA11" s="146"/>
    </row>
    <row r="12" spans="1:27" x14ac:dyDescent="0.25">
      <c r="B12" s="27" t="s">
        <v>129</v>
      </c>
      <c r="C12" s="26">
        <v>1</v>
      </c>
      <c r="E12" s="145"/>
      <c r="R12" s="8"/>
      <c r="S12" s="7"/>
      <c r="V12" t="str">
        <f>V6</f>
        <v>Kwartyl 1</v>
      </c>
      <c r="W12">
        <f>W6-W5</f>
        <v>19.571428571428569</v>
      </c>
      <c r="Y12" s="144"/>
      <c r="Z12" s="145"/>
      <c r="AA12" s="146"/>
    </row>
    <row r="13" spans="1:27" x14ac:dyDescent="0.25">
      <c r="B13" s="27" t="s">
        <v>130</v>
      </c>
      <c r="C13" s="26">
        <v>1</v>
      </c>
      <c r="E13" s="145"/>
      <c r="R13" s="42" t="s">
        <v>146</v>
      </c>
      <c r="S13" s="41">
        <f>W8</f>
        <v>55.6</v>
      </c>
      <c r="V13" t="str">
        <f>V7</f>
        <v>Mediana</v>
      </c>
      <c r="W13">
        <f>W7-W6</f>
        <v>12.928571428571431</v>
      </c>
      <c r="Y13" s="144"/>
      <c r="Z13" s="145"/>
      <c r="AA13" s="146"/>
    </row>
    <row r="14" spans="1:27" x14ac:dyDescent="0.25">
      <c r="B14" s="27" t="s">
        <v>131</v>
      </c>
      <c r="C14" s="26">
        <v>1</v>
      </c>
      <c r="R14" s="42" t="s">
        <v>141</v>
      </c>
      <c r="S14" s="41">
        <f>W7</f>
        <v>43.5</v>
      </c>
      <c r="V14" t="str">
        <f>V8</f>
        <v>Kwartyl 3</v>
      </c>
      <c r="W14">
        <f>W8-W7</f>
        <v>12.100000000000001</v>
      </c>
      <c r="Y14" s="144"/>
      <c r="Z14" s="145"/>
      <c r="AA14" s="146"/>
    </row>
    <row r="15" spans="1:27" x14ac:dyDescent="0.25">
      <c r="R15" s="42" t="s">
        <v>144</v>
      </c>
      <c r="S15" s="41">
        <f>W6</f>
        <v>30.571428571428569</v>
      </c>
      <c r="V15" t="str">
        <f>V9</f>
        <v>Wartość maksymalna</v>
      </c>
      <c r="W15">
        <f>W9-W8</f>
        <v>73.400000000000006</v>
      </c>
      <c r="Y15" s="144"/>
      <c r="Z15" s="145"/>
      <c r="AA15" s="146"/>
    </row>
    <row r="16" spans="1:27" x14ac:dyDescent="0.25">
      <c r="R16" s="8"/>
      <c r="S16" s="7"/>
      <c r="Y16" s="144"/>
      <c r="Z16" s="145"/>
      <c r="AA16" s="146"/>
    </row>
    <row r="17" spans="1:27" x14ac:dyDescent="0.25">
      <c r="R17" s="42" t="s">
        <v>67</v>
      </c>
      <c r="S17" s="41">
        <f>W5</f>
        <v>11</v>
      </c>
      <c r="Y17" s="147"/>
      <c r="Z17" s="148"/>
      <c r="AA17" s="149"/>
    </row>
    <row r="19" spans="1:27" x14ac:dyDescent="0.25">
      <c r="O19" s="10"/>
    </row>
    <row r="21" spans="1:27" x14ac:dyDescent="0.25">
      <c r="O21" s="169" t="s">
        <v>135</v>
      </c>
      <c r="P21" s="170"/>
    </row>
    <row r="22" spans="1:27" ht="14.45" customHeight="1" x14ac:dyDescent="0.25">
      <c r="O22" s="33" t="s">
        <v>136</v>
      </c>
      <c r="P22" s="34" t="s">
        <v>137</v>
      </c>
      <c r="Q22" s="109">
        <f>Obliczenia!D9/'Surowe dane'!L5</f>
        <v>45.965000000000003</v>
      </c>
      <c r="S22" s="175" t="s">
        <v>245</v>
      </c>
      <c r="T22" s="176"/>
      <c r="U22" s="176"/>
      <c r="V22" s="176"/>
      <c r="W22" s="176"/>
      <c r="X22" s="176"/>
      <c r="Y22" s="176"/>
      <c r="Z22" s="176"/>
      <c r="AA22" s="177"/>
    </row>
    <row r="23" spans="1:27" x14ac:dyDescent="0.25">
      <c r="A23" s="32" t="s">
        <v>142</v>
      </c>
      <c r="B23" s="28" t="str">
        <f t="shared" ref="B23:C29" si="0">B4</f>
        <v>Długość w minutach</v>
      </c>
      <c r="C23" s="28" t="str">
        <f t="shared" si="0"/>
        <v>Ilość</v>
      </c>
      <c r="E23" s="168" t="s">
        <v>134</v>
      </c>
      <c r="F23" s="168"/>
      <c r="O23" s="33" t="s">
        <v>140</v>
      </c>
      <c r="P23" s="34" t="s">
        <v>141</v>
      </c>
      <c r="Q23" s="110">
        <f>34+(((100/2)-SUM(C24:C25))/C26)*12</f>
        <v>43.5</v>
      </c>
      <c r="S23" s="178"/>
      <c r="T23" s="179"/>
      <c r="U23" s="179"/>
      <c r="V23" s="179"/>
      <c r="W23" s="179"/>
      <c r="X23" s="179"/>
      <c r="Y23" s="179"/>
      <c r="Z23" s="179"/>
      <c r="AA23" s="180"/>
    </row>
    <row r="24" spans="1:27" x14ac:dyDescent="0.25">
      <c r="A24" s="29">
        <v>1</v>
      </c>
      <c r="B24" s="30" t="str">
        <f t="shared" si="0"/>
        <v>[11-22]</v>
      </c>
      <c r="C24" s="29">
        <f t="shared" si="0"/>
        <v>10</v>
      </c>
      <c r="E24" s="168"/>
      <c r="F24" s="168"/>
      <c r="O24" s="33" t="s">
        <v>143</v>
      </c>
      <c r="P24" s="34" t="s">
        <v>144</v>
      </c>
      <c r="Q24" s="110">
        <f>22+(((100/4)-C24)/C25)*12</f>
        <v>30.571428571428569</v>
      </c>
      <c r="S24" s="178"/>
      <c r="T24" s="179"/>
      <c r="U24" s="179"/>
      <c r="V24" s="179"/>
      <c r="W24" s="179"/>
      <c r="X24" s="179"/>
      <c r="Y24" s="179"/>
      <c r="Z24" s="179"/>
      <c r="AA24" s="180"/>
    </row>
    <row r="25" spans="1:27" ht="12" customHeight="1" x14ac:dyDescent="0.25">
      <c r="A25" s="29">
        <v>2</v>
      </c>
      <c r="B25" s="30" t="str">
        <f t="shared" si="0"/>
        <v>(22-34]</v>
      </c>
      <c r="C25" s="29">
        <f t="shared" si="0"/>
        <v>21</v>
      </c>
      <c r="E25" s="168"/>
      <c r="F25" s="168"/>
      <c r="O25" s="33" t="s">
        <v>145</v>
      </c>
      <c r="P25" s="34" t="s">
        <v>146</v>
      </c>
      <c r="Q25" s="110">
        <f>46+((((3*100)/4)-SUM(C24:C26))/C27)*12</f>
        <v>55.6</v>
      </c>
      <c r="S25" s="178"/>
      <c r="T25" s="179"/>
      <c r="U25" s="179"/>
      <c r="V25" s="179"/>
      <c r="W25" s="179"/>
      <c r="X25" s="179"/>
      <c r="Y25" s="179"/>
      <c r="Z25" s="179"/>
      <c r="AA25" s="180"/>
    </row>
    <row r="26" spans="1:27" x14ac:dyDescent="0.25">
      <c r="A26" s="29">
        <v>3</v>
      </c>
      <c r="B26" s="30" t="str">
        <f t="shared" si="0"/>
        <v>(34-46]</v>
      </c>
      <c r="C26" s="29">
        <f t="shared" si="0"/>
        <v>24</v>
      </c>
      <c r="E26" s="168"/>
      <c r="F26" s="168"/>
      <c r="O26" s="33" t="s">
        <v>147</v>
      </c>
      <c r="P26" s="34" t="s">
        <v>148</v>
      </c>
      <c r="Q26" s="111">
        <f>46+((C27-C26)/((C27-C26)+(C27-C28)))*12</f>
        <v>46.631578947368418</v>
      </c>
      <c r="S26" s="181"/>
      <c r="T26" s="182"/>
      <c r="U26" s="182"/>
      <c r="V26" s="182"/>
      <c r="W26" s="182"/>
      <c r="X26" s="182"/>
      <c r="Y26" s="182"/>
      <c r="Z26" s="182"/>
      <c r="AA26" s="183"/>
    </row>
    <row r="27" spans="1:27" x14ac:dyDescent="0.25">
      <c r="A27" s="29">
        <v>4</v>
      </c>
      <c r="B27" s="30" t="str">
        <f t="shared" si="0"/>
        <v>(46-58]</v>
      </c>
      <c r="C27" s="29">
        <f t="shared" si="0"/>
        <v>25</v>
      </c>
      <c r="E27" s="168"/>
      <c r="F27" s="168"/>
      <c r="Q27" s="7"/>
    </row>
    <row r="28" spans="1:27" x14ac:dyDescent="0.25">
      <c r="A28" s="29">
        <v>5</v>
      </c>
      <c r="B28" s="30" t="str">
        <f t="shared" si="0"/>
        <v>(58-70]</v>
      </c>
      <c r="C28" s="29">
        <f t="shared" si="0"/>
        <v>7</v>
      </c>
      <c r="E28" s="168"/>
      <c r="F28" s="168"/>
      <c r="Q28" s="7"/>
    </row>
    <row r="29" spans="1:27" x14ac:dyDescent="0.25">
      <c r="A29" s="29">
        <v>6</v>
      </c>
      <c r="B29" s="30" t="str">
        <f t="shared" si="0"/>
        <v>(70-82]</v>
      </c>
      <c r="C29" s="29">
        <f t="shared" si="0"/>
        <v>8</v>
      </c>
      <c r="E29" s="168"/>
      <c r="F29" s="168"/>
      <c r="O29" s="171" t="s">
        <v>149</v>
      </c>
      <c r="P29" s="172"/>
      <c r="Q29" s="7"/>
    </row>
    <row r="30" spans="1:27" ht="14.45" customHeight="1" x14ac:dyDescent="0.25">
      <c r="A30" s="29">
        <v>7</v>
      </c>
      <c r="B30" s="31" t="s">
        <v>132</v>
      </c>
      <c r="C30" s="29">
        <f>SUM(C11:C14)</f>
        <v>5</v>
      </c>
      <c r="E30" s="168"/>
      <c r="F30" s="168"/>
      <c r="O30" s="35" t="s">
        <v>150</v>
      </c>
      <c r="P30" s="38" t="s">
        <v>151</v>
      </c>
      <c r="Q30" s="112">
        <f>Obliczenia!G9/100</f>
        <v>444.396275</v>
      </c>
      <c r="S30" s="159" t="s">
        <v>249</v>
      </c>
      <c r="T30" s="160"/>
      <c r="U30" s="160"/>
      <c r="V30" s="160"/>
      <c r="W30" s="160"/>
      <c r="X30" s="160"/>
      <c r="Y30" s="160"/>
      <c r="Z30" s="161"/>
    </row>
    <row r="31" spans="1:27" x14ac:dyDescent="0.25">
      <c r="E31" s="168"/>
      <c r="F31" s="168"/>
      <c r="O31" s="35" t="s">
        <v>154</v>
      </c>
      <c r="P31" s="38" t="s">
        <v>155</v>
      </c>
      <c r="Q31" s="113">
        <f>SQRT(Q30)</f>
        <v>21.080708598147265</v>
      </c>
      <c r="S31" s="162"/>
      <c r="T31" s="163"/>
      <c r="U31" s="163"/>
      <c r="V31" s="163"/>
      <c r="W31" s="163"/>
      <c r="X31" s="163"/>
      <c r="Y31" s="163"/>
      <c r="Z31" s="164"/>
    </row>
    <row r="32" spans="1:27" x14ac:dyDescent="0.25">
      <c r="E32" s="168"/>
      <c r="F32" s="168"/>
      <c r="O32" s="35" t="s">
        <v>156</v>
      </c>
      <c r="P32" s="38" t="s">
        <v>157</v>
      </c>
      <c r="Q32" s="113">
        <f>Q31/Q22</f>
        <v>0.45862522785047893</v>
      </c>
      <c r="S32" s="162"/>
      <c r="T32" s="163"/>
      <c r="U32" s="163"/>
      <c r="V32" s="163"/>
      <c r="W32" s="163"/>
      <c r="X32" s="163"/>
      <c r="Y32" s="163"/>
      <c r="Z32" s="164"/>
    </row>
    <row r="33" spans="15:27" ht="18.600000000000001" customHeight="1" x14ac:dyDescent="0.25">
      <c r="O33" s="35" t="s">
        <v>64</v>
      </c>
      <c r="P33" s="38" t="s">
        <v>65</v>
      </c>
      <c r="Q33" s="113">
        <v>118</v>
      </c>
      <c r="S33" s="162"/>
      <c r="T33" s="163"/>
      <c r="U33" s="163"/>
      <c r="V33" s="163"/>
      <c r="W33" s="163"/>
      <c r="X33" s="163"/>
      <c r="Y33" s="163"/>
      <c r="Z33" s="164"/>
    </row>
    <row r="34" spans="15:27" x14ac:dyDescent="0.25">
      <c r="O34" s="35" t="s">
        <v>158</v>
      </c>
      <c r="P34" s="38" t="s">
        <v>159</v>
      </c>
      <c r="Q34" s="114">
        <f>Q25-Q24</f>
        <v>25.028571428571432</v>
      </c>
      <c r="S34" s="165"/>
      <c r="T34" s="166"/>
      <c r="U34" s="166"/>
      <c r="V34" s="166"/>
      <c r="W34" s="166"/>
      <c r="X34" s="166"/>
      <c r="Y34" s="166"/>
      <c r="Z34" s="167"/>
    </row>
    <row r="35" spans="15:27" x14ac:dyDescent="0.25">
      <c r="Q35" s="7"/>
    </row>
    <row r="36" spans="15:27" x14ac:dyDescent="0.25">
      <c r="Q36" s="7"/>
    </row>
    <row r="37" spans="15:27" x14ac:dyDescent="0.25">
      <c r="O37" s="173" t="s">
        <v>160</v>
      </c>
      <c r="P37" s="174"/>
      <c r="Q37" s="7"/>
    </row>
    <row r="38" spans="15:27" ht="14.45" customHeight="1" x14ac:dyDescent="0.25">
      <c r="O38" s="36" t="s">
        <v>161</v>
      </c>
      <c r="P38" s="39" t="s">
        <v>163</v>
      </c>
      <c r="Q38" s="115">
        <f>(Q22-Q26)/Q31</f>
        <v>-3.1620329281862869E-2</v>
      </c>
      <c r="S38" s="150" t="s">
        <v>246</v>
      </c>
      <c r="T38" s="151"/>
      <c r="U38" s="151"/>
      <c r="V38" s="151"/>
      <c r="W38" s="151"/>
      <c r="X38" s="151"/>
      <c r="Y38" s="151"/>
      <c r="Z38" s="151"/>
      <c r="AA38" s="152"/>
    </row>
    <row r="39" spans="15:27" x14ac:dyDescent="0.25">
      <c r="O39" s="36" t="s">
        <v>162</v>
      </c>
      <c r="P39" s="39" t="s">
        <v>164</v>
      </c>
      <c r="Q39" s="116">
        <f>(3*(Q22-Q23))/Q31</f>
        <v>0.35079465975114044</v>
      </c>
      <c r="S39" s="153"/>
      <c r="T39" s="154"/>
      <c r="U39" s="154"/>
      <c r="V39" s="154"/>
      <c r="W39" s="154"/>
      <c r="X39" s="154"/>
      <c r="Y39" s="154"/>
      <c r="Z39" s="154"/>
      <c r="AA39" s="155"/>
    </row>
    <row r="40" spans="15:27" x14ac:dyDescent="0.25">
      <c r="O40" s="37" t="s">
        <v>165</v>
      </c>
      <c r="P40" s="40" t="s">
        <v>166</v>
      </c>
      <c r="Q40" s="116">
        <f>Obliczenia!I10/('Długość albumów'!Q31^3)</f>
        <v>0.99884284205304696</v>
      </c>
      <c r="S40" s="153"/>
      <c r="T40" s="154"/>
      <c r="U40" s="154"/>
      <c r="V40" s="154"/>
      <c r="W40" s="154"/>
      <c r="X40" s="154"/>
      <c r="Y40" s="154"/>
      <c r="Z40" s="154"/>
      <c r="AA40" s="155"/>
    </row>
    <row r="41" spans="15:27" ht="36" customHeight="1" x14ac:dyDescent="0.25">
      <c r="O41" s="37" t="s">
        <v>169</v>
      </c>
      <c r="P41" s="40" t="s">
        <v>170</v>
      </c>
      <c r="Q41" s="116">
        <f>Obliczenia!K10/('Długość albumów'!Q31^4)</f>
        <v>4.0434704523383775</v>
      </c>
      <c r="S41" s="153"/>
      <c r="T41" s="154"/>
      <c r="U41" s="154"/>
      <c r="V41" s="154"/>
      <c r="W41" s="154"/>
      <c r="X41" s="154"/>
      <c r="Y41" s="154"/>
      <c r="Z41" s="154"/>
      <c r="AA41" s="155"/>
    </row>
    <row r="42" spans="15:27" x14ac:dyDescent="0.25">
      <c r="O42" s="37" t="s">
        <v>172</v>
      </c>
      <c r="P42" s="40" t="s">
        <v>173</v>
      </c>
      <c r="Q42" s="117">
        <f>3-Q41</f>
        <v>-1.0434704523383775</v>
      </c>
      <c r="S42" s="156"/>
      <c r="T42" s="157"/>
      <c r="U42" s="157"/>
      <c r="V42" s="157"/>
      <c r="W42" s="157"/>
      <c r="X42" s="157"/>
      <c r="Y42" s="157"/>
      <c r="Z42" s="157"/>
      <c r="AA42" s="158"/>
    </row>
  </sheetData>
  <mergeCells count="10">
    <mergeCell ref="A1:F1"/>
    <mergeCell ref="Y6:AA17"/>
    <mergeCell ref="S38:AA42"/>
    <mergeCell ref="S30:Z34"/>
    <mergeCell ref="E5:E13"/>
    <mergeCell ref="E23:F32"/>
    <mergeCell ref="O21:P21"/>
    <mergeCell ref="O29:P29"/>
    <mergeCell ref="O37:P37"/>
    <mergeCell ref="S22:AA26"/>
  </mergeCells>
  <pageMargins left="0.7" right="0.7" top="0.75" bottom="0.75" header="0.3" footer="0.3"/>
  <pageSetup paperSize="9" scale="4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D1EE2-A51A-4C16-A0A5-03369CD8BC17}">
  <sheetPr>
    <pageSetUpPr fitToPage="1"/>
  </sheetPr>
  <dimension ref="A1:AO63"/>
  <sheetViews>
    <sheetView topLeftCell="C1" zoomScaleNormal="100" workbookViewId="0">
      <selection activeCell="W22" sqref="W22"/>
    </sheetView>
  </sheetViews>
  <sheetFormatPr defaultRowHeight="15" x14ac:dyDescent="0.25"/>
  <cols>
    <col min="1" max="1" width="6.5703125" customWidth="1"/>
    <col min="2" max="2" width="10.140625" bestFit="1" customWidth="1"/>
    <col min="3" max="3" width="11.7109375" bestFit="1" customWidth="1"/>
    <col min="5" max="5" width="22.85546875" bestFit="1" customWidth="1"/>
    <col min="7" max="7" width="14.7109375" bestFit="1" customWidth="1"/>
    <col min="12" max="12" width="12.28515625" bestFit="1" customWidth="1"/>
    <col min="13" max="13" width="12.7109375" bestFit="1" customWidth="1"/>
    <col min="19" max="19" width="12" bestFit="1" customWidth="1"/>
    <col min="21" max="21" width="10.7109375" bestFit="1" customWidth="1"/>
    <col min="22" max="22" width="12.7109375" bestFit="1" customWidth="1"/>
    <col min="23" max="23" width="17.28515625" bestFit="1" customWidth="1"/>
    <col min="24" max="24" width="11.28515625" bestFit="1" customWidth="1"/>
    <col min="25" max="25" width="17.7109375" bestFit="1" customWidth="1"/>
    <col min="26" max="26" width="11.28515625" bestFit="1" customWidth="1"/>
    <col min="27" max="27" width="17.7109375" bestFit="1" customWidth="1"/>
    <col min="28" max="28" width="11.28515625" bestFit="1" customWidth="1"/>
  </cols>
  <sheetData>
    <row r="1" spans="1:38" ht="14.45" customHeight="1" x14ac:dyDescent="0.25">
      <c r="A1" s="45" t="s">
        <v>174</v>
      </c>
      <c r="B1" s="45" t="s">
        <v>175</v>
      </c>
      <c r="C1" s="45" t="s">
        <v>176</v>
      </c>
      <c r="D1" s="67"/>
      <c r="E1" s="202" t="s">
        <v>247</v>
      </c>
      <c r="F1" s="203"/>
      <c r="G1" s="203"/>
      <c r="H1" s="204"/>
      <c r="I1" s="67"/>
      <c r="J1" s="67"/>
      <c r="K1" s="67"/>
      <c r="L1" s="67"/>
      <c r="M1" s="67"/>
      <c r="N1" s="67"/>
      <c r="O1" s="67"/>
      <c r="P1" s="67"/>
      <c r="Q1" s="51"/>
      <c r="R1" s="102"/>
      <c r="S1" s="103"/>
      <c r="T1" s="67"/>
      <c r="U1" s="67"/>
      <c r="V1" s="67"/>
      <c r="W1" s="213" t="s">
        <v>222</v>
      </c>
      <c r="X1" s="213"/>
      <c r="Y1" s="213"/>
      <c r="Z1" s="213"/>
      <c r="AA1" s="213"/>
      <c r="AB1" s="213"/>
      <c r="AC1" s="67"/>
      <c r="AD1" s="67"/>
      <c r="AE1" s="67"/>
      <c r="AF1" s="67"/>
      <c r="AG1" s="67"/>
      <c r="AH1" s="67"/>
      <c r="AI1" s="67"/>
      <c r="AJ1" s="67"/>
      <c r="AK1" s="67"/>
      <c r="AL1" s="51"/>
    </row>
    <row r="2" spans="1:38" x14ac:dyDescent="0.25">
      <c r="A2" s="29">
        <f>'Dane do korelacji'!A12</f>
        <v>1983</v>
      </c>
      <c r="B2" s="29">
        <f>SUM('Dane do korelacji'!B12:G12)</f>
        <v>11531</v>
      </c>
      <c r="C2" s="29">
        <f>SUM('Dane do korelacji'!H12:L12)</f>
        <v>52.6</v>
      </c>
      <c r="E2" s="205"/>
      <c r="F2" s="206"/>
      <c r="G2" s="206"/>
      <c r="H2" s="207"/>
      <c r="Q2" s="53"/>
      <c r="R2" s="90"/>
      <c r="S2" s="91"/>
      <c r="W2" s="213"/>
      <c r="X2" s="213"/>
      <c r="Y2" s="213"/>
      <c r="Z2" s="213"/>
      <c r="AA2" s="213"/>
      <c r="AB2" s="213"/>
      <c r="AL2" s="53"/>
    </row>
    <row r="3" spans="1:38" x14ac:dyDescent="0.25">
      <c r="A3" s="29">
        <f>'Dane do korelacji'!A13</f>
        <v>1984</v>
      </c>
      <c r="B3" s="29">
        <f>SUM('Dane do korelacji'!B13:G13)</f>
        <v>12409.2</v>
      </c>
      <c r="C3" s="29">
        <f>SUM('Dane do korelacji'!H13:L13)</f>
        <v>302.89999999999998</v>
      </c>
      <c r="E3" s="205"/>
      <c r="F3" s="206"/>
      <c r="G3" s="206"/>
      <c r="H3" s="207"/>
      <c r="Q3" s="53"/>
      <c r="R3" s="216" t="s">
        <v>231</v>
      </c>
      <c r="S3" s="217"/>
      <c r="T3" s="218"/>
      <c r="U3" s="104"/>
      <c r="W3" s="214" t="s">
        <v>215</v>
      </c>
      <c r="X3" s="214"/>
      <c r="Y3" s="214"/>
      <c r="Z3" s="214"/>
      <c r="AA3" s="214" t="s">
        <v>216</v>
      </c>
      <c r="AB3" s="214"/>
      <c r="AL3" s="53"/>
    </row>
    <row r="4" spans="1:38" x14ac:dyDescent="0.25">
      <c r="A4" s="29">
        <f>'Dane do korelacji'!A14</f>
        <v>1985</v>
      </c>
      <c r="B4" s="29">
        <f>SUM('Dane do korelacji'!B14:G14)</f>
        <v>11250.7</v>
      </c>
      <c r="C4" s="29">
        <f>SUM('Dane do korelacji'!H14:L14)</f>
        <v>1103</v>
      </c>
      <c r="E4" s="205"/>
      <c r="F4" s="206"/>
      <c r="G4" s="206"/>
      <c r="H4" s="207"/>
      <c r="Q4" s="53"/>
      <c r="R4" s="219"/>
      <c r="S4" s="220"/>
      <c r="T4" s="221"/>
      <c r="U4" s="104"/>
      <c r="W4" s="215" t="s">
        <v>218</v>
      </c>
      <c r="X4" s="215"/>
      <c r="Y4" s="215" t="s">
        <v>219</v>
      </c>
      <c r="Z4" s="215"/>
      <c r="AA4" s="215" t="s">
        <v>217</v>
      </c>
      <c r="AB4" s="215"/>
      <c r="AE4" s="234" t="s">
        <v>237</v>
      </c>
      <c r="AF4" s="235"/>
      <c r="AG4" s="235"/>
      <c r="AH4" s="235"/>
      <c r="AI4" s="235"/>
      <c r="AJ4" s="235"/>
      <c r="AK4" s="236"/>
      <c r="AL4" s="53"/>
    </row>
    <row r="5" spans="1:38" x14ac:dyDescent="0.25">
      <c r="A5" s="29">
        <f>'Dane do korelacji'!A15</f>
        <v>1986</v>
      </c>
      <c r="B5" s="29">
        <f>SUM('Dane do korelacji'!B15:G15)</f>
        <v>10315.9</v>
      </c>
      <c r="C5" s="29">
        <f>SUM('Dane do korelacji'!H15:L15)</f>
        <v>2585.8000000000002</v>
      </c>
      <c r="E5" s="208"/>
      <c r="F5" s="209"/>
      <c r="G5" s="209"/>
      <c r="H5" s="210"/>
      <c r="Q5" s="53"/>
      <c r="R5" s="219"/>
      <c r="S5" s="220"/>
      <c r="T5" s="221"/>
      <c r="U5" s="104"/>
      <c r="V5" s="50" t="s">
        <v>174</v>
      </c>
      <c r="W5" s="49" t="s">
        <v>220</v>
      </c>
      <c r="X5" s="49" t="s">
        <v>221</v>
      </c>
      <c r="Y5" s="49" t="s">
        <v>220</v>
      </c>
      <c r="Z5" s="49" t="s">
        <v>221</v>
      </c>
      <c r="AA5" s="49" t="s">
        <v>220</v>
      </c>
      <c r="AB5" s="49" t="s">
        <v>221</v>
      </c>
      <c r="AE5" s="237"/>
      <c r="AF5" s="238"/>
      <c r="AG5" s="238"/>
      <c r="AH5" s="238"/>
      <c r="AI5" s="238"/>
      <c r="AJ5" s="238"/>
      <c r="AK5" s="239"/>
      <c r="AL5" s="53"/>
    </row>
    <row r="6" spans="1:38" x14ac:dyDescent="0.25">
      <c r="A6" s="29">
        <f>'Dane do korelacji'!A16</f>
        <v>1987</v>
      </c>
      <c r="B6" s="29">
        <f>SUM('Dane do korelacji'!B16:G16)</f>
        <v>10649.599999999999</v>
      </c>
      <c r="C6" s="29">
        <f>SUM('Dane do korelacji'!H16:L16)</f>
        <v>4274.3999999999996</v>
      </c>
      <c r="Q6" s="53"/>
      <c r="R6" s="219"/>
      <c r="S6" s="220"/>
      <c r="T6" s="221"/>
      <c r="U6" s="104"/>
      <c r="V6" s="46">
        <f t="shared" ref="V6:V21" si="0">A2</f>
        <v>1983</v>
      </c>
      <c r="W6" s="47">
        <f>C2-C$2</f>
        <v>0</v>
      </c>
      <c r="X6" s="47"/>
      <c r="Y6" s="48">
        <f>(C2-C$2)/C$2</f>
        <v>0</v>
      </c>
      <c r="Z6" s="48"/>
      <c r="AA6" s="47">
        <f>C2/C$2</f>
        <v>1</v>
      </c>
      <c r="AB6" s="47"/>
      <c r="AE6" s="237"/>
      <c r="AF6" s="238"/>
      <c r="AG6" s="238"/>
      <c r="AH6" s="238"/>
      <c r="AI6" s="238"/>
      <c r="AJ6" s="238"/>
      <c r="AK6" s="239"/>
      <c r="AL6" s="53"/>
    </row>
    <row r="7" spans="1:38" x14ac:dyDescent="0.25">
      <c r="A7" s="29">
        <f>'Dane do korelacji'!A17</f>
        <v>1988</v>
      </c>
      <c r="B7" s="29">
        <f>SUM('Dane do korelacji'!B17:G17)</f>
        <v>10702</v>
      </c>
      <c r="C7" s="29">
        <f>SUM('Dane do korelacji'!H17:L17)</f>
        <v>5408.0999999999995</v>
      </c>
      <c r="Q7" s="53"/>
      <c r="R7" s="219"/>
      <c r="S7" s="220"/>
      <c r="T7" s="221"/>
      <c r="U7" s="104"/>
      <c r="V7" s="46">
        <f t="shared" si="0"/>
        <v>1984</v>
      </c>
      <c r="W7" s="47">
        <f t="shared" ref="W7:W21" si="1">C3-C$2</f>
        <v>250.29999999999998</v>
      </c>
      <c r="X7" s="47">
        <f>C3-C2</f>
        <v>250.29999999999998</v>
      </c>
      <c r="Y7" s="48">
        <f>(C3-C$2)/C$2</f>
        <v>4.7585551330798479</v>
      </c>
      <c r="Z7" s="48">
        <f>(C3-C2)/C2</f>
        <v>4.7585551330798479</v>
      </c>
      <c r="AA7" s="47">
        <f t="shared" ref="AA7:AA21" si="2">C3/C$2</f>
        <v>5.758555133079847</v>
      </c>
      <c r="AB7" s="47">
        <f>C3/C2</f>
        <v>5.758555133079847</v>
      </c>
      <c r="AE7" s="237"/>
      <c r="AF7" s="238"/>
      <c r="AG7" s="238"/>
      <c r="AH7" s="238"/>
      <c r="AI7" s="238"/>
      <c r="AJ7" s="238"/>
      <c r="AK7" s="239"/>
      <c r="AL7" s="53"/>
    </row>
    <row r="8" spans="1:38" x14ac:dyDescent="0.25">
      <c r="A8" s="29">
        <f>'Dane do korelacji'!A18</f>
        <v>1989</v>
      </c>
      <c r="B8" s="29">
        <f>SUM('Dane do korelacji'!B18:G18)</f>
        <v>9527</v>
      </c>
      <c r="C8" s="29">
        <f>SUM('Dane do korelacji'!H18:L18)</f>
        <v>6642.3</v>
      </c>
      <c r="Q8" s="53"/>
      <c r="R8" s="219"/>
      <c r="S8" s="220"/>
      <c r="T8" s="221"/>
      <c r="U8" s="104"/>
      <c r="V8" s="46">
        <f t="shared" si="0"/>
        <v>1985</v>
      </c>
      <c r="W8" s="47">
        <f>C4-C$2</f>
        <v>1050.4000000000001</v>
      </c>
      <c r="X8" s="47">
        <f t="shared" ref="X8:X21" si="3">C4-C3</f>
        <v>800.1</v>
      </c>
      <c r="Y8" s="48">
        <f t="shared" ref="Y8:Y21" si="4">(C4-C$2)/C$2</f>
        <v>19.969581749049432</v>
      </c>
      <c r="Z8" s="48">
        <f t="shared" ref="Z8:Z21" si="5">(C4-C3)/C3</f>
        <v>2.6414658303070322</v>
      </c>
      <c r="AA8" s="47">
        <f t="shared" si="2"/>
        <v>20.969581749049429</v>
      </c>
      <c r="AB8" s="47">
        <f t="shared" ref="AB8:AB21" si="6">C4/C3</f>
        <v>3.6414658303070322</v>
      </c>
      <c r="AE8" s="237"/>
      <c r="AF8" s="238"/>
      <c r="AG8" s="238"/>
      <c r="AH8" s="238"/>
      <c r="AI8" s="238"/>
      <c r="AJ8" s="238"/>
      <c r="AK8" s="239"/>
      <c r="AL8" s="53"/>
    </row>
    <row r="9" spans="1:38" x14ac:dyDescent="0.25">
      <c r="A9" s="29">
        <f>'Dane do korelacji'!A19</f>
        <v>1990</v>
      </c>
      <c r="B9" s="29">
        <f>SUM('Dane do korelacji'!B19:G19)</f>
        <v>9118.2000000000007</v>
      </c>
      <c r="C9" s="29">
        <f>SUM('Dane do korelacji'!H19:L19)</f>
        <v>8462.4</v>
      </c>
      <c r="E9" s="211" t="s">
        <v>200</v>
      </c>
      <c r="F9" s="211"/>
      <c r="Q9" s="53"/>
      <c r="R9" s="219"/>
      <c r="S9" s="220"/>
      <c r="T9" s="221"/>
      <c r="U9" s="104"/>
      <c r="V9" s="46">
        <f t="shared" si="0"/>
        <v>1986</v>
      </c>
      <c r="W9" s="47">
        <f t="shared" si="1"/>
        <v>2533.2000000000003</v>
      </c>
      <c r="X9" s="47">
        <f t="shared" si="3"/>
        <v>1482.8000000000002</v>
      </c>
      <c r="Y9" s="48">
        <f t="shared" si="4"/>
        <v>48.159695817490501</v>
      </c>
      <c r="Z9" s="48">
        <f t="shared" si="5"/>
        <v>1.344333635539438</v>
      </c>
      <c r="AA9" s="47">
        <f t="shared" si="2"/>
        <v>49.159695817490494</v>
      </c>
      <c r="AB9" s="47">
        <f t="shared" si="6"/>
        <v>2.3443336355394382</v>
      </c>
      <c r="AE9" s="237"/>
      <c r="AF9" s="238"/>
      <c r="AG9" s="238"/>
      <c r="AH9" s="238"/>
      <c r="AI9" s="238"/>
      <c r="AJ9" s="238"/>
      <c r="AK9" s="239"/>
      <c r="AL9" s="53"/>
    </row>
    <row r="10" spans="1:38" x14ac:dyDescent="0.25">
      <c r="A10" s="29">
        <f>'Dane do korelacji'!A20</f>
        <v>1991</v>
      </c>
      <c r="B10" s="29">
        <f>SUM('Dane do korelacji'!B20:G20)</f>
        <v>7479.5</v>
      </c>
      <c r="C10" s="29">
        <f>SUM('Dane do korelacji'!H20:L20)</f>
        <v>10046.900000000001</v>
      </c>
      <c r="E10" s="92" t="s">
        <v>201</v>
      </c>
      <c r="F10" s="93" t="s">
        <v>202</v>
      </c>
      <c r="G10" s="94">
        <f>_xlfn.COVARIANCE.P('Analogi vs kompakty'!B2:B18,'Analogi vs kompakty'!C2:C18)</f>
        <v>-25263318.274394464</v>
      </c>
      <c r="Q10" s="53"/>
      <c r="R10" s="219"/>
      <c r="S10" s="220"/>
      <c r="T10" s="221"/>
      <c r="U10" s="104"/>
      <c r="V10" s="46">
        <f t="shared" si="0"/>
        <v>1987</v>
      </c>
      <c r="W10" s="47">
        <f t="shared" si="1"/>
        <v>4221.7999999999993</v>
      </c>
      <c r="X10" s="47">
        <f t="shared" si="3"/>
        <v>1688.5999999999995</v>
      </c>
      <c r="Y10" s="48">
        <f t="shared" si="4"/>
        <v>80.262357414448658</v>
      </c>
      <c r="Z10" s="48">
        <f t="shared" si="5"/>
        <v>0.65302807641735605</v>
      </c>
      <c r="AA10" s="47">
        <f t="shared" si="2"/>
        <v>81.262357414448658</v>
      </c>
      <c r="AB10" s="47">
        <f t="shared" si="6"/>
        <v>1.6530280764173562</v>
      </c>
      <c r="AE10" s="240"/>
      <c r="AF10" s="241"/>
      <c r="AG10" s="241"/>
      <c r="AH10" s="241"/>
      <c r="AI10" s="241"/>
      <c r="AJ10" s="241"/>
      <c r="AK10" s="242"/>
      <c r="AL10" s="53"/>
    </row>
    <row r="11" spans="1:38" x14ac:dyDescent="0.25">
      <c r="A11" s="29">
        <f>'Dane do korelacji'!A21</f>
        <v>1992</v>
      </c>
      <c r="B11" s="29">
        <f>SUM('Dane do korelacji'!B21:G21)</f>
        <v>7590.2999999999993</v>
      </c>
      <c r="C11" s="29">
        <f>SUM('Dane do korelacji'!H21:L21)</f>
        <v>12007.699999999999</v>
      </c>
      <c r="E11" s="92" t="s">
        <v>209</v>
      </c>
      <c r="F11" s="93" t="s">
        <v>60</v>
      </c>
      <c r="G11" s="94">
        <f>G10/(_xlfn.STDEV.P(B2:B18)*_xlfn.STDEV.P(C2:C18))</f>
        <v>-0.97841192196402227</v>
      </c>
      <c r="Q11" s="53"/>
      <c r="R11" s="222"/>
      <c r="S11" s="223"/>
      <c r="T11" s="224"/>
      <c r="U11" s="104"/>
      <c r="V11" s="46">
        <f t="shared" si="0"/>
        <v>1988</v>
      </c>
      <c r="W11" s="47">
        <f t="shared" si="1"/>
        <v>5355.4999999999991</v>
      </c>
      <c r="X11" s="47">
        <f t="shared" si="3"/>
        <v>1133.6999999999998</v>
      </c>
      <c r="Y11" s="48">
        <f t="shared" si="4"/>
        <v>101.81558935361215</v>
      </c>
      <c r="Z11" s="48">
        <f t="shared" si="5"/>
        <v>0.2652302077484559</v>
      </c>
      <c r="AA11" s="47">
        <f t="shared" si="2"/>
        <v>102.81558935361215</v>
      </c>
      <c r="AB11" s="47">
        <f t="shared" si="6"/>
        <v>1.2652302077484558</v>
      </c>
      <c r="AL11" s="53"/>
    </row>
    <row r="12" spans="1:38" x14ac:dyDescent="0.25">
      <c r="A12" s="29">
        <f>'Dane do korelacji'!A22</f>
        <v>1993</v>
      </c>
      <c r="B12" s="29">
        <f>SUM('Dane do korelacji'!B22:G22)</f>
        <v>6908.1999999999989</v>
      </c>
      <c r="C12" s="29">
        <f>SUM('Dane do korelacji'!H22:L22)</f>
        <v>14276.8</v>
      </c>
      <c r="G12" s="7"/>
      <c r="Q12" s="53"/>
      <c r="R12" s="90"/>
      <c r="S12" s="91"/>
      <c r="V12" s="46">
        <f t="shared" si="0"/>
        <v>1989</v>
      </c>
      <c r="W12" s="47">
        <f t="shared" si="1"/>
        <v>6589.7</v>
      </c>
      <c r="X12" s="47">
        <f t="shared" si="3"/>
        <v>1234.2000000000007</v>
      </c>
      <c r="Y12" s="48">
        <f t="shared" si="4"/>
        <v>125.27946768060836</v>
      </c>
      <c r="Z12" s="48">
        <f t="shared" si="5"/>
        <v>0.22821323570200272</v>
      </c>
      <c r="AA12" s="47">
        <f t="shared" si="2"/>
        <v>126.27946768060836</v>
      </c>
      <c r="AB12" s="47">
        <f t="shared" si="6"/>
        <v>1.2282132357020028</v>
      </c>
      <c r="AL12" s="53"/>
    </row>
    <row r="13" spans="1:38" x14ac:dyDescent="0.25">
      <c r="A13" s="29">
        <f>'Dane do korelacji'!A23</f>
        <v>1994</v>
      </c>
      <c r="B13" s="29">
        <f>SUM('Dane do korelacji'!B23:G23)</f>
        <v>6818.3</v>
      </c>
      <c r="C13" s="29">
        <f>SUM('Dane do korelacji'!H23:L23)</f>
        <v>17993.599999999999</v>
      </c>
      <c r="E13" s="212" t="s">
        <v>211</v>
      </c>
      <c r="F13" s="212"/>
      <c r="G13" s="7"/>
      <c r="Q13" s="53"/>
      <c r="R13" s="90"/>
      <c r="S13" s="91"/>
      <c r="V13" s="46">
        <f t="shared" si="0"/>
        <v>1990</v>
      </c>
      <c r="W13" s="47">
        <f t="shared" si="1"/>
        <v>8409.7999999999993</v>
      </c>
      <c r="X13" s="47">
        <f t="shared" si="3"/>
        <v>1820.0999999999995</v>
      </c>
      <c r="Y13" s="48">
        <f t="shared" si="4"/>
        <v>159.88212927756652</v>
      </c>
      <c r="Z13" s="48">
        <f t="shared" si="5"/>
        <v>0.27401653041868018</v>
      </c>
      <c r="AA13" s="47">
        <f t="shared" si="2"/>
        <v>160.88212927756652</v>
      </c>
      <c r="AB13" s="47">
        <f t="shared" si="6"/>
        <v>1.2740165304186801</v>
      </c>
      <c r="AL13" s="53"/>
    </row>
    <row r="14" spans="1:38" x14ac:dyDescent="0.25">
      <c r="A14" s="29">
        <f>'Dane do korelacji'!A24</f>
        <v>1995</v>
      </c>
      <c r="B14" s="29">
        <f>SUM('Dane do korelacji'!B24:G24)</f>
        <v>5221.6999999999989</v>
      </c>
      <c r="C14" s="29">
        <f>SUM('Dane do korelacji'!H24:L24)</f>
        <v>19411</v>
      </c>
      <c r="E14" s="95" t="s">
        <v>210</v>
      </c>
      <c r="F14" s="96" t="s">
        <v>212</v>
      </c>
      <c r="G14" s="97">
        <f>G10/(Obliczenia!N23^2)</f>
        <v>-2.4960616742747908</v>
      </c>
      <c r="Q14" s="53"/>
      <c r="R14" s="90"/>
      <c r="S14" s="91"/>
      <c r="V14" s="46">
        <f t="shared" si="0"/>
        <v>1991</v>
      </c>
      <c r="W14" s="47">
        <f t="shared" si="1"/>
        <v>9994.3000000000011</v>
      </c>
      <c r="X14" s="47">
        <f t="shared" si="3"/>
        <v>1584.5000000000018</v>
      </c>
      <c r="Y14" s="48">
        <f t="shared" si="4"/>
        <v>190.00570342205324</v>
      </c>
      <c r="Z14" s="48">
        <f t="shared" si="5"/>
        <v>0.18724002647003238</v>
      </c>
      <c r="AA14" s="47">
        <f t="shared" si="2"/>
        <v>191.00570342205324</v>
      </c>
      <c r="AB14" s="47">
        <f t="shared" si="6"/>
        <v>1.1872400264700325</v>
      </c>
      <c r="AL14" s="53"/>
    </row>
    <row r="15" spans="1:38" x14ac:dyDescent="0.25">
      <c r="A15" s="29">
        <f>'Dane do korelacji'!A25</f>
        <v>1996</v>
      </c>
      <c r="B15" s="29">
        <f>SUM('Dane do korelacji'!B25:G25)</f>
        <v>4231.3999999999996</v>
      </c>
      <c r="C15" s="29">
        <f>SUM('Dane do korelacji'!H25:L25)</f>
        <v>20109.3</v>
      </c>
      <c r="E15" s="95" t="s">
        <v>213</v>
      </c>
      <c r="F15" s="96" t="s">
        <v>214</v>
      </c>
      <c r="G15" s="97">
        <f>G11^2</f>
        <v>0.95728988904133205</v>
      </c>
      <c r="Q15" s="53"/>
      <c r="R15" s="52"/>
      <c r="V15" s="46">
        <f t="shared" si="0"/>
        <v>1992</v>
      </c>
      <c r="W15" s="47">
        <f>C11-C$2</f>
        <v>11955.099999999999</v>
      </c>
      <c r="X15" s="47">
        <f t="shared" si="3"/>
        <v>1960.7999999999975</v>
      </c>
      <c r="Y15" s="48">
        <f t="shared" si="4"/>
        <v>227.28326996197714</v>
      </c>
      <c r="Z15" s="48">
        <f t="shared" si="5"/>
        <v>0.19516467766176604</v>
      </c>
      <c r="AA15" s="47">
        <f t="shared" si="2"/>
        <v>228.28326996197717</v>
      </c>
      <c r="AB15" s="47">
        <f t="shared" si="6"/>
        <v>1.1951646776617659</v>
      </c>
      <c r="AL15" s="53"/>
    </row>
    <row r="16" spans="1:38" x14ac:dyDescent="0.25">
      <c r="A16" s="29">
        <f>'Dane do korelacji'!A26</f>
        <v>1997</v>
      </c>
      <c r="B16" s="29">
        <f>SUM('Dane do korelacji'!B26:G26)</f>
        <v>3275</v>
      </c>
      <c r="C16" s="29">
        <f>SUM('Dane do korelacji'!H26:L26)</f>
        <v>19956.000000000004</v>
      </c>
      <c r="F16" s="98" t="s">
        <v>230</v>
      </c>
      <c r="G16" s="97">
        <f>H27</f>
        <v>30565.271278045184</v>
      </c>
      <c r="Q16" s="53"/>
      <c r="R16" s="52"/>
      <c r="V16" s="46">
        <f t="shared" si="0"/>
        <v>1993</v>
      </c>
      <c r="W16" s="47">
        <f t="shared" si="1"/>
        <v>14224.199999999999</v>
      </c>
      <c r="X16" s="47">
        <f t="shared" si="3"/>
        <v>2269.1000000000004</v>
      </c>
      <c r="Y16" s="48">
        <f t="shared" si="4"/>
        <v>270.42205323193912</v>
      </c>
      <c r="Z16" s="48">
        <f t="shared" si="5"/>
        <v>0.18897041065316428</v>
      </c>
      <c r="AA16" s="47">
        <f t="shared" si="2"/>
        <v>271.42205323193912</v>
      </c>
      <c r="AB16" s="47">
        <f t="shared" si="6"/>
        <v>1.1889704106531642</v>
      </c>
      <c r="AL16" s="53"/>
    </row>
    <row r="17" spans="1:38" ht="14.45" customHeight="1" x14ac:dyDescent="0.25">
      <c r="A17" s="29">
        <f>'Dane do korelacji'!A27</f>
        <v>1998</v>
      </c>
      <c r="B17" s="29">
        <f>SUM('Dane do korelacji'!B27:G27)</f>
        <v>2942.4</v>
      </c>
      <c r="C17" s="29">
        <f>SUM('Dane do korelacji'!H27:L27)</f>
        <v>22688.5</v>
      </c>
      <c r="E17" s="101" t="s">
        <v>236</v>
      </c>
      <c r="F17" s="96" t="s">
        <v>233</v>
      </c>
      <c r="G17" s="99" t="s">
        <v>234</v>
      </c>
      <c r="Q17" s="53"/>
      <c r="R17" s="52"/>
      <c r="V17" s="46">
        <f t="shared" si="0"/>
        <v>1994</v>
      </c>
      <c r="W17" s="47">
        <f t="shared" si="1"/>
        <v>17941</v>
      </c>
      <c r="X17" s="47">
        <f t="shared" si="3"/>
        <v>3716.7999999999993</v>
      </c>
      <c r="Y17" s="48">
        <f t="shared" si="4"/>
        <v>341.08365019011404</v>
      </c>
      <c r="Z17" s="48">
        <f t="shared" si="5"/>
        <v>0.26033845119354471</v>
      </c>
      <c r="AA17" s="47">
        <f t="shared" si="2"/>
        <v>342.08365019011404</v>
      </c>
      <c r="AB17" s="47">
        <f t="shared" si="6"/>
        <v>1.2603384511935447</v>
      </c>
      <c r="AL17" s="53"/>
    </row>
    <row r="18" spans="1:38" x14ac:dyDescent="0.25">
      <c r="A18" s="29">
        <f>'Dane do korelacji'!A28</f>
        <v>1999</v>
      </c>
      <c r="B18" s="29">
        <f>SUM('Dane do korelacji'!B28:G28)</f>
        <v>2138.6</v>
      </c>
      <c r="C18" s="29">
        <f>SUM('Dane do korelacji'!H28:L28)</f>
        <v>24536.1</v>
      </c>
      <c r="Q18" s="53"/>
      <c r="R18" s="52"/>
      <c r="V18" s="46">
        <f t="shared" si="0"/>
        <v>1995</v>
      </c>
      <c r="W18" s="47">
        <f t="shared" si="1"/>
        <v>19358.400000000001</v>
      </c>
      <c r="X18" s="47">
        <f t="shared" si="3"/>
        <v>1417.4000000000015</v>
      </c>
      <c r="Y18" s="48">
        <f t="shared" si="4"/>
        <v>368.03041825095056</v>
      </c>
      <c r="Z18" s="48">
        <f t="shared" si="5"/>
        <v>7.8772452427529879E-2</v>
      </c>
      <c r="AA18" s="47">
        <f t="shared" si="2"/>
        <v>369.03041825095056</v>
      </c>
      <c r="AB18" s="47">
        <f t="shared" si="6"/>
        <v>1.0787724524275299</v>
      </c>
      <c r="AL18" s="53"/>
    </row>
    <row r="19" spans="1:38" x14ac:dyDescent="0.25">
      <c r="A19" s="52"/>
      <c r="B19" t="s">
        <v>225</v>
      </c>
      <c r="C19" t="s">
        <v>226</v>
      </c>
      <c r="Q19" s="53"/>
      <c r="R19" s="52"/>
      <c r="V19" s="46">
        <f t="shared" si="0"/>
        <v>1996</v>
      </c>
      <c r="W19" s="47">
        <f t="shared" si="1"/>
        <v>20056.7</v>
      </c>
      <c r="X19" s="47">
        <f t="shared" si="3"/>
        <v>698.29999999999927</v>
      </c>
      <c r="Y19" s="48">
        <f t="shared" si="4"/>
        <v>381.30608365019009</v>
      </c>
      <c r="Z19" s="48">
        <f t="shared" si="5"/>
        <v>3.5974447478233952E-2</v>
      </c>
      <c r="AA19" s="47">
        <f t="shared" si="2"/>
        <v>382.30608365019009</v>
      </c>
      <c r="AB19" s="47">
        <f t="shared" si="6"/>
        <v>1.035974447478234</v>
      </c>
      <c r="AL19" s="53"/>
    </row>
    <row r="20" spans="1:38" ht="14.45" customHeight="1" x14ac:dyDescent="0.25">
      <c r="A20" s="52"/>
      <c r="E20" s="193" t="s">
        <v>235</v>
      </c>
      <c r="F20" s="194"/>
      <c r="G20" s="194"/>
      <c r="H20" s="194"/>
      <c r="I20" s="194"/>
      <c r="J20" s="195"/>
      <c r="Q20" s="53"/>
      <c r="R20" s="52"/>
      <c r="V20" s="46">
        <f t="shared" si="0"/>
        <v>1997</v>
      </c>
      <c r="W20" s="47">
        <f t="shared" si="1"/>
        <v>19903.400000000005</v>
      </c>
      <c r="X20" s="47">
        <f t="shared" si="3"/>
        <v>-153.29999999999563</v>
      </c>
      <c r="Y20" s="48">
        <f t="shared" si="4"/>
        <v>378.39163498098867</v>
      </c>
      <c r="Z20" s="48">
        <f t="shared" si="5"/>
        <v>-7.6233384553413414E-3</v>
      </c>
      <c r="AA20" s="47">
        <f t="shared" si="2"/>
        <v>379.39163498098867</v>
      </c>
      <c r="AB20" s="47">
        <f t="shared" si="6"/>
        <v>0.99237666154465864</v>
      </c>
      <c r="AL20" s="53"/>
    </row>
    <row r="21" spans="1:38" x14ac:dyDescent="0.25">
      <c r="A21" s="52"/>
      <c r="E21" s="196"/>
      <c r="F21" s="197"/>
      <c r="G21" s="197"/>
      <c r="H21" s="197"/>
      <c r="I21" s="197"/>
      <c r="J21" s="198"/>
      <c r="Q21" s="53"/>
      <c r="R21" s="52"/>
      <c r="V21" s="46">
        <f t="shared" si="0"/>
        <v>1998</v>
      </c>
      <c r="W21" s="47">
        <f t="shared" si="1"/>
        <v>22635.9</v>
      </c>
      <c r="X21" s="47">
        <f t="shared" si="3"/>
        <v>2732.4999999999964</v>
      </c>
      <c r="Y21" s="48">
        <f t="shared" si="4"/>
        <v>430.3403041825095</v>
      </c>
      <c r="Z21" s="48">
        <f t="shared" si="5"/>
        <v>0.13692623772299037</v>
      </c>
      <c r="AA21" s="47">
        <f t="shared" si="2"/>
        <v>431.3403041825095</v>
      </c>
      <c r="AB21" s="47">
        <f t="shared" si="6"/>
        <v>1.1369262377229903</v>
      </c>
      <c r="AL21" s="53"/>
    </row>
    <row r="22" spans="1:38" ht="18.600000000000001" customHeight="1" x14ac:dyDescent="0.25">
      <c r="A22" s="52"/>
      <c r="E22" s="196"/>
      <c r="F22" s="197"/>
      <c r="G22" s="197"/>
      <c r="H22" s="197"/>
      <c r="I22" s="197"/>
      <c r="J22" s="198"/>
      <c r="Q22" s="53"/>
      <c r="R22" s="52"/>
      <c r="V22" s="46">
        <f>A18</f>
        <v>1999</v>
      </c>
      <c r="W22" s="47">
        <f>C18-C$2</f>
        <v>24483.5</v>
      </c>
      <c r="X22" s="47">
        <f>C18-C17</f>
        <v>1847.5999999999985</v>
      </c>
      <c r="Y22" s="48">
        <f>(C18-C$2)/C$2</f>
        <v>465.46577946768059</v>
      </c>
      <c r="Z22" s="48">
        <f>(C18-C17)/C17</f>
        <v>8.1433325252881356E-2</v>
      </c>
      <c r="AA22" s="47">
        <f>C18/C$2</f>
        <v>466.46577946768059</v>
      </c>
      <c r="AB22" s="47">
        <f>C18/C17</f>
        <v>1.0814333252528814</v>
      </c>
      <c r="AL22" s="53"/>
    </row>
    <row r="23" spans="1:38" ht="18.600000000000001" customHeight="1" x14ac:dyDescent="0.25">
      <c r="A23" s="52"/>
      <c r="E23" s="196"/>
      <c r="F23" s="197"/>
      <c r="G23" s="197"/>
      <c r="H23" s="197"/>
      <c r="I23" s="197"/>
      <c r="J23" s="198"/>
      <c r="Q23" s="53"/>
      <c r="R23" s="52"/>
      <c r="V23" s="105"/>
      <c r="W23" s="105"/>
      <c r="X23" s="105"/>
      <c r="Y23" s="106"/>
      <c r="Z23" s="106"/>
      <c r="AA23" s="105"/>
      <c r="AB23" s="105"/>
      <c r="AL23" s="53"/>
    </row>
    <row r="24" spans="1:38" ht="18.600000000000001" customHeight="1" x14ac:dyDescent="0.25">
      <c r="A24" s="52"/>
      <c r="E24" s="199"/>
      <c r="F24" s="200"/>
      <c r="G24" s="200"/>
      <c r="H24" s="200"/>
      <c r="I24" s="200"/>
      <c r="J24" s="201"/>
      <c r="Q24" s="53"/>
      <c r="R24" s="52"/>
      <c r="U24" s="243" t="s">
        <v>238</v>
      </c>
      <c r="V24" s="244"/>
      <c r="W24" s="245"/>
      <c r="X24" s="118">
        <f>SUM(X7:X22)/16</f>
        <v>1530.21875</v>
      </c>
      <c r="Y24" s="106"/>
      <c r="Z24" s="106"/>
      <c r="AA24" s="105"/>
      <c r="AB24" s="105"/>
      <c r="AL24" s="53"/>
    </row>
    <row r="25" spans="1:38" ht="18.600000000000001" customHeight="1" x14ac:dyDescent="0.25">
      <c r="A25" s="54"/>
      <c r="B25" s="68"/>
      <c r="C25" s="68"/>
      <c r="D25" s="68"/>
      <c r="E25" s="68"/>
      <c r="F25" s="68"/>
      <c r="G25" s="68"/>
      <c r="H25" s="68"/>
      <c r="I25" s="68"/>
      <c r="J25" s="68"/>
      <c r="K25" s="68"/>
      <c r="L25" s="68"/>
      <c r="M25" s="68"/>
      <c r="N25" s="68"/>
      <c r="O25" s="68"/>
      <c r="P25" s="68"/>
      <c r="Q25" s="100"/>
      <c r="R25" s="54"/>
      <c r="S25" s="68"/>
      <c r="T25" s="68"/>
      <c r="U25" s="68"/>
      <c r="V25" s="107"/>
      <c r="W25" s="107"/>
      <c r="X25" s="107"/>
      <c r="Y25" s="108"/>
      <c r="Z25" s="108"/>
      <c r="AA25" s="107"/>
      <c r="AB25" s="107"/>
      <c r="AC25" s="68"/>
      <c r="AD25" s="68"/>
      <c r="AE25" s="68"/>
      <c r="AF25" s="68"/>
      <c r="AG25" s="68"/>
      <c r="AH25" s="68"/>
      <c r="AI25" s="68"/>
      <c r="AJ25" s="68"/>
      <c r="AK25" s="68"/>
      <c r="AL25" s="100"/>
    </row>
    <row r="26" spans="1:38" ht="40.9" customHeight="1" x14ac:dyDescent="0.25">
      <c r="A26" s="189" t="s">
        <v>232</v>
      </c>
      <c r="B26" s="190"/>
      <c r="C26" s="191"/>
      <c r="D26" s="67"/>
      <c r="E26" s="67"/>
      <c r="F26" s="67"/>
      <c r="G26" s="67"/>
      <c r="H26" s="67"/>
      <c r="I26" s="51"/>
      <c r="J26" s="121"/>
      <c r="K26" s="246" t="s">
        <v>239</v>
      </c>
      <c r="L26" s="247"/>
      <c r="M26" s="247"/>
      <c r="N26" s="247"/>
      <c r="O26" s="248"/>
      <c r="P26" s="67"/>
      <c r="Q26" s="67"/>
      <c r="R26" s="67"/>
      <c r="S26" s="67"/>
      <c r="T26" s="67"/>
      <c r="U26" s="67"/>
      <c r="V26" s="67"/>
      <c r="W26" s="51"/>
    </row>
    <row r="27" spans="1:38" x14ac:dyDescent="0.25">
      <c r="A27" s="119"/>
      <c r="B27" s="120"/>
      <c r="C27" s="120"/>
      <c r="F27" s="88" t="s">
        <v>227</v>
      </c>
      <c r="G27" s="192" t="s">
        <v>229</v>
      </c>
      <c r="H27" s="89">
        <f>AO62</f>
        <v>30565.271278045184</v>
      </c>
      <c r="I27" s="53"/>
      <c r="J27" s="52"/>
      <c r="W27" s="122"/>
    </row>
    <row r="28" spans="1:38" ht="14.45" customHeight="1" x14ac:dyDescent="0.25">
      <c r="A28" s="187" t="s">
        <v>223</v>
      </c>
      <c r="B28" s="188"/>
      <c r="C28" s="69" t="s">
        <v>224</v>
      </c>
      <c r="F28" s="88" t="s">
        <v>228</v>
      </c>
      <c r="G28" s="192"/>
      <c r="H28" s="89">
        <f>AO63</f>
        <v>-2.4960616742747908</v>
      </c>
      <c r="I28" s="53"/>
      <c r="J28" s="52"/>
      <c r="K28" s="225" t="s">
        <v>240</v>
      </c>
      <c r="L28" s="226"/>
      <c r="M28" s="226"/>
      <c r="N28" s="226"/>
      <c r="O28" s="227"/>
      <c r="W28" s="122"/>
    </row>
    <row r="29" spans="1:38" x14ac:dyDescent="0.25">
      <c r="A29" s="64">
        <v>1</v>
      </c>
      <c r="B29" s="56">
        <v>11531</v>
      </c>
      <c r="C29" s="61">
        <v>52.6</v>
      </c>
      <c r="I29" s="53"/>
      <c r="J29" s="52"/>
      <c r="K29" s="228"/>
      <c r="L29" s="229"/>
      <c r="M29" s="229"/>
      <c r="N29" s="229"/>
      <c r="O29" s="230"/>
      <c r="W29" s="122"/>
    </row>
    <row r="30" spans="1:38" x14ac:dyDescent="0.25">
      <c r="A30" s="65">
        <v>1</v>
      </c>
      <c r="B30" s="58">
        <v>12409.2</v>
      </c>
      <c r="C30" s="62">
        <v>302.89999999999998</v>
      </c>
      <c r="I30" s="53"/>
      <c r="J30" s="52"/>
      <c r="K30" s="228"/>
      <c r="L30" s="229"/>
      <c r="M30" s="229"/>
      <c r="N30" s="229"/>
      <c r="O30" s="230"/>
      <c r="W30" s="122"/>
    </row>
    <row r="31" spans="1:38" ht="14.45" customHeight="1" x14ac:dyDescent="0.25">
      <c r="A31" s="65">
        <v>1</v>
      </c>
      <c r="B31" s="58">
        <v>11250.7</v>
      </c>
      <c r="C31" s="62">
        <v>1103</v>
      </c>
      <c r="I31" s="53"/>
      <c r="J31" s="52"/>
      <c r="K31" s="228"/>
      <c r="L31" s="229"/>
      <c r="M31" s="229"/>
      <c r="N31" s="229"/>
      <c r="O31" s="230"/>
      <c r="Q31" s="225" t="s">
        <v>241</v>
      </c>
      <c r="R31" s="226"/>
      <c r="S31" s="226"/>
      <c r="T31" s="227"/>
      <c r="U31" s="125" t="s">
        <v>242</v>
      </c>
      <c r="V31" s="126" t="str">
        <f>B1</f>
        <v>Analogowe</v>
      </c>
      <c r="W31" s="122"/>
    </row>
    <row r="32" spans="1:38" x14ac:dyDescent="0.25">
      <c r="A32" s="65">
        <v>1</v>
      </c>
      <c r="B32" s="58">
        <v>10315.9</v>
      </c>
      <c r="C32" s="62">
        <v>2585.8000000000002</v>
      </c>
      <c r="I32" s="53"/>
      <c r="J32" s="52"/>
      <c r="K32" s="228"/>
      <c r="L32" s="229"/>
      <c r="M32" s="229"/>
      <c r="N32" s="229"/>
      <c r="O32" s="230"/>
      <c r="Q32" s="228"/>
      <c r="R32" s="229"/>
      <c r="S32" s="229"/>
      <c r="T32" s="230"/>
      <c r="U32" s="127">
        <f>'Dane do korelacji'!A28</f>
        <v>1999</v>
      </c>
      <c r="V32" s="127">
        <f>SUM('Dane do korelacji'!B28:G28)</f>
        <v>2138.6</v>
      </c>
      <c r="W32" s="122"/>
    </row>
    <row r="33" spans="1:41" x14ac:dyDescent="0.25">
      <c r="A33" s="65">
        <v>1</v>
      </c>
      <c r="B33" s="58">
        <v>10649.599999999999</v>
      </c>
      <c r="C33" s="62">
        <v>4274.3999999999996</v>
      </c>
      <c r="I33" s="53"/>
      <c r="J33" s="52"/>
      <c r="K33" s="228"/>
      <c r="L33" s="229"/>
      <c r="M33" s="229"/>
      <c r="N33" s="229"/>
      <c r="O33" s="230"/>
      <c r="Q33" s="228"/>
      <c r="R33" s="229"/>
      <c r="S33" s="229"/>
      <c r="T33" s="230"/>
      <c r="U33" s="127">
        <f>'Dane do korelacji'!A29</f>
        <v>2000</v>
      </c>
      <c r="V33" s="127">
        <f>SUM('Dane do korelacji'!B29:G29)</f>
        <v>1211.3</v>
      </c>
      <c r="W33" s="122"/>
    </row>
    <row r="34" spans="1:41" x14ac:dyDescent="0.25">
      <c r="A34" s="65">
        <v>1</v>
      </c>
      <c r="B34" s="58">
        <v>10702</v>
      </c>
      <c r="C34" s="62">
        <v>5408.0999999999995</v>
      </c>
      <c r="I34" s="53"/>
      <c r="J34" s="52"/>
      <c r="K34" s="231"/>
      <c r="L34" s="232"/>
      <c r="M34" s="232"/>
      <c r="N34" s="232"/>
      <c r="O34" s="233"/>
      <c r="Q34" s="228"/>
      <c r="R34" s="229"/>
      <c r="S34" s="229"/>
      <c r="T34" s="230"/>
      <c r="U34" s="127">
        <f>'Dane do korelacji'!A30</f>
        <v>2001</v>
      </c>
      <c r="V34" s="127">
        <f>SUM('Dane do korelacji'!B30:G30)</f>
        <v>726.30000000000007</v>
      </c>
      <c r="W34" s="122"/>
    </row>
    <row r="35" spans="1:41" x14ac:dyDescent="0.25">
      <c r="A35" s="65">
        <v>1</v>
      </c>
      <c r="B35" s="58">
        <v>9527</v>
      </c>
      <c r="C35" s="62">
        <v>6642.3</v>
      </c>
      <c r="I35" s="53"/>
      <c r="J35" s="52"/>
      <c r="K35" s="123" t="s">
        <v>174</v>
      </c>
      <c r="L35" s="123" t="str">
        <f>C1</f>
        <v>Kompaktowe</v>
      </c>
      <c r="M35" s="123" t="str">
        <f>B1</f>
        <v>Analogowe</v>
      </c>
      <c r="Q35" s="228"/>
      <c r="R35" s="229"/>
      <c r="S35" s="229"/>
      <c r="T35" s="230"/>
      <c r="U35" s="127">
        <f>'Dane do korelacji'!A31</f>
        <v>2002</v>
      </c>
      <c r="V35" s="127">
        <f>SUM('Dane do korelacji'!B31:G31)</f>
        <v>432.2</v>
      </c>
      <c r="W35" s="122"/>
    </row>
    <row r="36" spans="1:41" x14ac:dyDescent="0.25">
      <c r="A36" s="65">
        <v>1</v>
      </c>
      <c r="B36" s="58">
        <v>9118.2000000000007</v>
      </c>
      <c r="C36" s="62">
        <v>8462.4</v>
      </c>
      <c r="I36" s="53"/>
      <c r="J36" s="52"/>
      <c r="K36" s="127">
        <f>A18</f>
        <v>1999</v>
      </c>
      <c r="L36" s="127">
        <f>C18</f>
        <v>24536.1</v>
      </c>
      <c r="M36" s="127">
        <f>B18</f>
        <v>2138.6</v>
      </c>
      <c r="Q36" s="228"/>
      <c r="R36" s="229"/>
      <c r="S36" s="229"/>
      <c r="T36" s="230"/>
      <c r="U36" s="127">
        <f>'Dane do korelacji'!A32</f>
        <v>2003</v>
      </c>
      <c r="V36" s="127">
        <f>SUM('Dane do korelacji'!B32:G32)</f>
        <v>250.5</v>
      </c>
      <c r="W36" s="122"/>
    </row>
    <row r="37" spans="1:41" x14ac:dyDescent="0.25">
      <c r="A37" s="65">
        <v>1</v>
      </c>
      <c r="B37" s="58">
        <v>7479.5</v>
      </c>
      <c r="C37" s="62">
        <v>10046.900000000001</v>
      </c>
      <c r="J37" s="184" t="s">
        <v>239</v>
      </c>
      <c r="K37" s="128">
        <v>2000</v>
      </c>
      <c r="L37" s="128">
        <f>L36+X$24</f>
        <v>26066.318749999999</v>
      </c>
      <c r="M37" s="129">
        <f>(30565-L37)/2.4961</f>
        <v>1802.2840631384965</v>
      </c>
      <c r="Q37" s="228"/>
      <c r="R37" s="229"/>
      <c r="S37" s="229"/>
      <c r="T37" s="230"/>
      <c r="U37" s="127">
        <f>'Dane do korelacji'!A33</f>
        <v>2004</v>
      </c>
      <c r="V37" s="127">
        <f>SUM('Dane do korelacji'!B33:G33)</f>
        <v>101.4</v>
      </c>
      <c r="W37" s="122"/>
    </row>
    <row r="38" spans="1:41" x14ac:dyDescent="0.25">
      <c r="A38" s="65">
        <v>1</v>
      </c>
      <c r="B38" s="58">
        <v>7590.2999999999993</v>
      </c>
      <c r="C38" s="62">
        <v>12007.699999999999</v>
      </c>
      <c r="J38" s="185"/>
      <c r="K38" s="130">
        <v>2001</v>
      </c>
      <c r="L38" s="130">
        <f t="shared" ref="L38:L40" si="7">L37+X$24</f>
        <v>27596.537499999999</v>
      </c>
      <c r="M38" s="131">
        <f t="shared" ref="M38:M40" si="8">(30565-L38)/2.4961</f>
        <v>1189.2402147349871</v>
      </c>
      <c r="Q38" s="228"/>
      <c r="R38" s="229"/>
      <c r="S38" s="229"/>
      <c r="T38" s="230"/>
      <c r="U38" s="127">
        <f>'Dane do korelacji'!A34</f>
        <v>2005</v>
      </c>
      <c r="V38" s="127">
        <f>SUM('Dane do korelacji'!B34:G34)</f>
        <v>63.199999999999996</v>
      </c>
      <c r="W38" s="122"/>
    </row>
    <row r="39" spans="1:41" x14ac:dyDescent="0.25">
      <c r="A39" s="65">
        <v>1</v>
      </c>
      <c r="B39" s="58">
        <v>6908.1999999999989</v>
      </c>
      <c r="C39" s="62">
        <v>14276.8</v>
      </c>
      <c r="J39" s="185"/>
      <c r="K39" s="130">
        <v>2002</v>
      </c>
      <c r="L39" s="130">
        <f t="shared" si="7"/>
        <v>29126.756249999999</v>
      </c>
      <c r="M39" s="131">
        <f t="shared" si="8"/>
        <v>576.19636633147763</v>
      </c>
      <c r="Q39" s="228"/>
      <c r="R39" s="229"/>
      <c r="S39" s="229"/>
      <c r="T39" s="230"/>
      <c r="U39" s="127">
        <f>'Dane do korelacji'!A35</f>
        <v>2006</v>
      </c>
      <c r="V39" s="127">
        <f>SUM('Dane do korelacji'!B35:G35)</f>
        <v>44.3</v>
      </c>
      <c r="W39" s="122"/>
    </row>
    <row r="40" spans="1:41" x14ac:dyDescent="0.25">
      <c r="A40" s="65">
        <v>1</v>
      </c>
      <c r="B40" s="58">
        <v>6818.3</v>
      </c>
      <c r="C40" s="62">
        <v>17993.599999999999</v>
      </c>
      <c r="J40" s="186"/>
      <c r="K40" s="132">
        <v>2003</v>
      </c>
      <c r="L40" s="132">
        <f t="shared" si="7"/>
        <v>30656.974999999999</v>
      </c>
      <c r="M40" s="133">
        <f t="shared" si="8"/>
        <v>-36.847482072031788</v>
      </c>
      <c r="Q40" s="228"/>
      <c r="R40" s="229"/>
      <c r="S40" s="229"/>
      <c r="T40" s="230"/>
      <c r="U40" s="127">
        <f>'Dane do korelacji'!A36</f>
        <v>2007</v>
      </c>
      <c r="V40" s="127">
        <f>SUM('Dane do korelacji'!B36:G36)</f>
        <v>44</v>
      </c>
      <c r="W40" s="122"/>
    </row>
    <row r="41" spans="1:41" x14ac:dyDescent="0.25">
      <c r="A41" s="65">
        <v>1</v>
      </c>
      <c r="B41" s="58">
        <v>5221.6999999999989</v>
      </c>
      <c r="C41" s="62">
        <v>19411</v>
      </c>
      <c r="I41" s="53"/>
      <c r="J41" s="52"/>
      <c r="Q41" s="231"/>
      <c r="R41" s="232"/>
      <c r="S41" s="232"/>
      <c r="T41" s="233"/>
      <c r="W41" s="122"/>
    </row>
    <row r="42" spans="1:41" x14ac:dyDescent="0.25">
      <c r="A42" s="65">
        <v>1</v>
      </c>
      <c r="B42" s="58">
        <v>4231.3999999999996</v>
      </c>
      <c r="C42" s="62">
        <v>20109.3</v>
      </c>
      <c r="I42" s="53"/>
      <c r="J42" s="52"/>
      <c r="W42" s="122"/>
    </row>
    <row r="43" spans="1:41" x14ac:dyDescent="0.25">
      <c r="A43" s="65">
        <v>1</v>
      </c>
      <c r="B43" s="58">
        <v>3275</v>
      </c>
      <c r="C43" s="62">
        <v>19956.000000000004</v>
      </c>
      <c r="I43" s="53"/>
      <c r="J43" s="52"/>
      <c r="W43" s="122"/>
    </row>
    <row r="44" spans="1:41" x14ac:dyDescent="0.25">
      <c r="A44" s="65">
        <v>1</v>
      </c>
      <c r="B44" s="58">
        <v>2942.4</v>
      </c>
      <c r="C44" s="62">
        <v>22688.5</v>
      </c>
      <c r="I44" s="53"/>
      <c r="J44" s="54"/>
      <c r="K44" s="68"/>
      <c r="L44" s="68"/>
      <c r="M44" s="68"/>
      <c r="N44" s="68"/>
      <c r="O44" s="68"/>
      <c r="P44" s="68"/>
      <c r="Q44" s="68"/>
      <c r="R44" s="68"/>
      <c r="S44" s="68"/>
      <c r="T44" s="68"/>
      <c r="U44" s="68"/>
      <c r="V44" s="68"/>
      <c r="W44" s="124"/>
    </row>
    <row r="45" spans="1:41" x14ac:dyDescent="0.25">
      <c r="A45" s="66">
        <v>1</v>
      </c>
      <c r="B45" s="60">
        <v>2138.6</v>
      </c>
      <c r="C45" s="63">
        <v>24536.1</v>
      </c>
      <c r="I45" s="53"/>
      <c r="R45" s="57">
        <v>1</v>
      </c>
      <c r="S45" s="58">
        <v>11531</v>
      </c>
      <c r="AO45" s="70">
        <v>52.6</v>
      </c>
    </row>
    <row r="46" spans="1:41" x14ac:dyDescent="0.25">
      <c r="A46" s="52"/>
      <c r="I46" s="53"/>
      <c r="R46" s="57">
        <v>1</v>
      </c>
      <c r="S46" s="58">
        <v>12409.2</v>
      </c>
      <c r="AO46" s="71">
        <v>302.89999999999998</v>
      </c>
    </row>
    <row r="47" spans="1:41" x14ac:dyDescent="0.25">
      <c r="A47" s="52"/>
      <c r="I47" s="53"/>
      <c r="R47" s="57">
        <v>1</v>
      </c>
      <c r="S47" s="58">
        <v>11250.7</v>
      </c>
      <c r="AO47" s="71">
        <v>1103</v>
      </c>
    </row>
    <row r="48" spans="1:41" x14ac:dyDescent="0.25">
      <c r="A48" s="54"/>
      <c r="B48" s="68"/>
      <c r="C48" s="68"/>
      <c r="D48" s="68"/>
      <c r="E48" s="68"/>
      <c r="F48" s="68"/>
      <c r="G48" s="68"/>
      <c r="H48" s="68"/>
      <c r="I48" s="100"/>
      <c r="R48" s="57">
        <v>1</v>
      </c>
      <c r="S48" s="58">
        <v>10315.9</v>
      </c>
      <c r="AO48" s="71">
        <v>2585.8000000000002</v>
      </c>
    </row>
    <row r="49" spans="1:41" x14ac:dyDescent="0.25">
      <c r="R49" s="57">
        <v>1</v>
      </c>
      <c r="S49" s="58">
        <v>10649.599999999999</v>
      </c>
      <c r="AO49" s="71">
        <v>4274.3999999999996</v>
      </c>
    </row>
    <row r="50" spans="1:41" x14ac:dyDescent="0.25">
      <c r="R50" s="57">
        <v>1</v>
      </c>
      <c r="S50" s="58">
        <v>10702</v>
      </c>
      <c r="AO50" s="71">
        <v>5408.0999999999995</v>
      </c>
    </row>
    <row r="51" spans="1:41" x14ac:dyDescent="0.25">
      <c r="R51" s="57">
        <v>1</v>
      </c>
      <c r="S51" s="58">
        <v>9527</v>
      </c>
      <c r="AO51" s="71">
        <v>6642.3</v>
      </c>
    </row>
    <row r="52" spans="1:41" x14ac:dyDescent="0.25">
      <c r="R52" s="57">
        <v>1</v>
      </c>
      <c r="S52" s="58">
        <v>9118.2000000000007</v>
      </c>
      <c r="AO52" s="71">
        <v>8462.4</v>
      </c>
    </row>
    <row r="53" spans="1:41" x14ac:dyDescent="0.25">
      <c r="R53" s="57">
        <v>1</v>
      </c>
      <c r="S53" s="58">
        <v>7479.5</v>
      </c>
      <c r="AO53" s="71">
        <v>10046.900000000001</v>
      </c>
    </row>
    <row r="54" spans="1:41" x14ac:dyDescent="0.25">
      <c r="R54" s="57">
        <v>1</v>
      </c>
      <c r="S54" s="58">
        <v>7590.2999999999993</v>
      </c>
      <c r="AO54" s="71">
        <v>12007.699999999999</v>
      </c>
    </row>
    <row r="55" spans="1:41" x14ac:dyDescent="0.25">
      <c r="R55" s="57">
        <v>1</v>
      </c>
      <c r="S55" s="58">
        <v>6908.1999999999989</v>
      </c>
      <c r="AO55" s="71">
        <v>14276.8</v>
      </c>
    </row>
    <row r="56" spans="1:41" x14ac:dyDescent="0.25">
      <c r="R56" s="57">
        <v>1</v>
      </c>
      <c r="S56" s="58">
        <v>6818.3</v>
      </c>
      <c r="AO56" s="71">
        <v>17993.599999999999</v>
      </c>
    </row>
    <row r="57" spans="1:41" x14ac:dyDescent="0.25">
      <c r="R57" s="57">
        <v>1</v>
      </c>
      <c r="S57" s="58">
        <v>5221.6999999999989</v>
      </c>
      <c r="AO57" s="71">
        <v>19411</v>
      </c>
    </row>
    <row r="58" spans="1:41" x14ac:dyDescent="0.25">
      <c r="R58" s="57">
        <v>1</v>
      </c>
      <c r="S58" s="58">
        <v>4231.3999999999996</v>
      </c>
      <c r="AO58" s="71">
        <v>20109.3</v>
      </c>
    </row>
    <row r="59" spans="1:41" x14ac:dyDescent="0.25">
      <c r="R59" s="57">
        <v>1</v>
      </c>
      <c r="S59" s="58">
        <v>3275</v>
      </c>
      <c r="AO59" s="71">
        <v>19956.000000000004</v>
      </c>
    </row>
    <row r="60" spans="1:41" x14ac:dyDescent="0.25">
      <c r="R60" s="57">
        <v>1</v>
      </c>
      <c r="S60" s="58">
        <v>2942.4</v>
      </c>
      <c r="X60" s="75">
        <v>1</v>
      </c>
      <c r="Y60" s="81">
        <v>1</v>
      </c>
      <c r="Z60" s="81">
        <v>1</v>
      </c>
      <c r="AA60" s="81">
        <v>1</v>
      </c>
      <c r="AB60" s="81">
        <v>1</v>
      </c>
      <c r="AC60" s="81">
        <v>1</v>
      </c>
      <c r="AD60" s="81">
        <v>1</v>
      </c>
      <c r="AE60" s="81">
        <v>1</v>
      </c>
      <c r="AF60" s="81">
        <v>1</v>
      </c>
      <c r="AG60" s="81">
        <v>1</v>
      </c>
      <c r="AH60" s="81">
        <v>1</v>
      </c>
      <c r="AI60" s="81">
        <v>1</v>
      </c>
      <c r="AJ60" s="81">
        <v>1</v>
      </c>
      <c r="AK60" s="81">
        <v>1</v>
      </c>
      <c r="AL60" s="81">
        <v>1</v>
      </c>
      <c r="AM60" s="81">
        <v>1</v>
      </c>
      <c r="AN60" s="74">
        <v>1</v>
      </c>
      <c r="AO60" s="78">
        <v>22688.5</v>
      </c>
    </row>
    <row r="61" spans="1:41" ht="15.75" thickBot="1" x14ac:dyDescent="0.3">
      <c r="R61" s="59">
        <v>1</v>
      </c>
      <c r="S61" s="60">
        <v>2138.6</v>
      </c>
      <c r="X61" s="76">
        <v>11531</v>
      </c>
      <c r="Y61" s="82">
        <v>12409.2</v>
      </c>
      <c r="Z61" s="82">
        <v>11250.7</v>
      </c>
      <c r="AA61" s="82">
        <v>10315.9</v>
      </c>
      <c r="AB61" s="82">
        <v>10649.599999999999</v>
      </c>
      <c r="AC61" s="82">
        <v>10702</v>
      </c>
      <c r="AD61" s="82">
        <v>9527</v>
      </c>
      <c r="AE61" s="82">
        <v>9118.2000000000007</v>
      </c>
      <c r="AF61" s="82">
        <v>7479.5</v>
      </c>
      <c r="AG61" s="82">
        <v>7590.2999999999993</v>
      </c>
      <c r="AH61" s="82">
        <v>6908.1999999999989</v>
      </c>
      <c r="AI61" s="82">
        <v>6818.3</v>
      </c>
      <c r="AJ61" s="82">
        <v>5221.6999999999989</v>
      </c>
      <c r="AK61" s="82">
        <v>4231.3999999999996</v>
      </c>
      <c r="AL61" s="82">
        <v>3275</v>
      </c>
      <c r="AM61" s="82">
        <v>2942.4</v>
      </c>
      <c r="AN61" s="77">
        <v>2138.6</v>
      </c>
      <c r="AO61" s="78">
        <v>24536.1</v>
      </c>
    </row>
    <row r="62" spans="1:41" x14ac:dyDescent="0.25">
      <c r="A62" s="55">
        <v>1</v>
      </c>
      <c r="B62" s="83">
        <v>1</v>
      </c>
      <c r="C62" s="83">
        <v>1</v>
      </c>
      <c r="D62" s="83">
        <v>1</v>
      </c>
      <c r="E62" s="83">
        <v>1</v>
      </c>
      <c r="F62" s="83">
        <v>1</v>
      </c>
      <c r="G62" s="83">
        <v>1</v>
      </c>
      <c r="H62" s="83">
        <v>1</v>
      </c>
      <c r="I62" s="83">
        <v>1</v>
      </c>
      <c r="J62" s="83">
        <v>1</v>
      </c>
      <c r="K62" s="83">
        <v>1</v>
      </c>
      <c r="L62" s="83">
        <v>1</v>
      </c>
      <c r="M62" s="83">
        <v>1</v>
      </c>
      <c r="N62" s="83">
        <v>1</v>
      </c>
      <c r="O62" s="83">
        <v>1</v>
      </c>
      <c r="P62" s="83">
        <v>1</v>
      </c>
      <c r="Q62" s="56">
        <v>1</v>
      </c>
      <c r="R62" s="85" cm="1">
        <f t="array" ref="R62">MMULT(A62:Q62, R45:R61)</f>
        <v>17</v>
      </c>
      <c r="S62" s="85" cm="1">
        <f t="array" ref="S62">MMULT(A62:Q62, S45:S61)</f>
        <v>132108.99999999997</v>
      </c>
      <c r="V62" s="75">
        <f t="array" ref="V62:W63">MINVERSE(R62:S63)</f>
        <v>0.40980401033250025</v>
      </c>
      <c r="W62" s="74">
        <v>-4.5164736510400543E-5</v>
      </c>
      <c r="X62" s="79" cm="1">
        <f t="array" ref="X62">MMULT($V62:$W62,X$60:X$61)</f>
        <v>-0.11099056636892846</v>
      </c>
      <c r="Y62" s="80" cm="1">
        <f t="array" ref="Y62">MMULT($V62:$W62,Y$60:Y$61)</f>
        <v>-0.15065423797236221</v>
      </c>
      <c r="Z62" s="80" cm="1">
        <f t="array" ref="Z62">MMULT($V62:$W62,Z$60:Z$61)</f>
        <v>-9.833089072506318E-2</v>
      </c>
      <c r="AA62" s="80" cm="1">
        <f t="array" ref="AA62">MMULT($V62:$W62,AA$60:AA$61)</f>
        <v>-5.6110895035140718E-2</v>
      </c>
      <c r="AB62" s="80" cm="1">
        <f t="array" ref="AB62">MMULT($V62:$W62,AB$60:AB$61)</f>
        <v>-7.1182367608661312E-2</v>
      </c>
      <c r="AC62" s="80" cm="1">
        <f t="array" ref="AC62">MMULT($V62:$W62,AC$60:AC$61)</f>
        <v>-7.3548999801806347E-2</v>
      </c>
      <c r="AD62" s="80" cm="1">
        <f t="array" ref="AD62">MMULT($V62:$W62,AD$60:AD$61)</f>
        <v>-2.0480434402085745E-2</v>
      </c>
      <c r="AE62" s="80" cm="1">
        <f t="array" ref="AE62">MMULT($V62:$W62,AE$60:AE$61)</f>
        <v>-2.0170901166340349E-3</v>
      </c>
      <c r="AF62" s="80" cm="1">
        <f t="array" ref="AF62">MMULT($V62:$W62,AF$60:AF$61)</f>
        <v>7.199436360295941E-2</v>
      </c>
      <c r="AG62" s="80" cm="1">
        <f t="array" ref="AG62">MMULT($V62:$W62,AG$60:AG$61)</f>
        <v>6.6990110797607028E-2</v>
      </c>
      <c r="AH62" s="80" cm="1">
        <f t="array" ref="AH62">MMULT($V62:$W62,AH$60:AH$61)</f>
        <v>9.7796977571351251E-2</v>
      </c>
      <c r="AI62" s="80" cm="1">
        <f t="array" ref="AI62">MMULT($V62:$W62,AI$60:AI$61)</f>
        <v>0.1018572873836362</v>
      </c>
      <c r="AJ62" s="80" cm="1">
        <f t="array" ref="AJ62">MMULT($V62:$W62,AJ$60:AJ$61)</f>
        <v>0.17396730569614177</v>
      </c>
      <c r="AK62" s="80" cm="1">
        <f t="array" ref="AK62">MMULT($V62:$W62,AK$60:AK$61)</f>
        <v>0.21869394426239142</v>
      </c>
      <c r="AL62" s="80" cm="1">
        <f t="array" ref="AL62">MMULT($V62:$W62,AL$60:AL$61)</f>
        <v>0.26188949826093844</v>
      </c>
      <c r="AM62" s="80" cm="1">
        <f t="array" ref="AM62">MMULT($V62:$W62,AM$60:AM$61)</f>
        <v>0.27691128962429767</v>
      </c>
      <c r="AN62" s="80" cm="1">
        <f t="array" ref="AN62">MMULT($V62:$W62,AN$60:AN$61)</f>
        <v>0.31321470483135766</v>
      </c>
      <c r="AO62" s="86" cm="1">
        <f t="array" ref="AO62">MMULT(X62:AN62,AO45:AO61)</f>
        <v>30565.271278045184</v>
      </c>
    </row>
    <row r="63" spans="1:41" ht="15.75" thickBot="1" x14ac:dyDescent="0.3">
      <c r="A63" s="59">
        <v>11531</v>
      </c>
      <c r="B63" s="84">
        <v>12409.2</v>
      </c>
      <c r="C63" s="84">
        <v>11250.7</v>
      </c>
      <c r="D63" s="84">
        <v>10315.9</v>
      </c>
      <c r="E63" s="84">
        <v>10649.599999999999</v>
      </c>
      <c r="F63" s="84">
        <v>10702</v>
      </c>
      <c r="G63" s="84">
        <v>9527</v>
      </c>
      <c r="H63" s="84">
        <v>9118.2000000000007</v>
      </c>
      <c r="I63" s="84">
        <v>7479.5</v>
      </c>
      <c r="J63" s="84">
        <v>7590.2999999999993</v>
      </c>
      <c r="K63" s="84">
        <v>6908.1999999999989</v>
      </c>
      <c r="L63" s="84">
        <v>6818.3</v>
      </c>
      <c r="M63" s="84">
        <v>5221.6999999999989</v>
      </c>
      <c r="N63" s="84">
        <v>4231.3999999999996</v>
      </c>
      <c r="O63" s="84">
        <v>3275</v>
      </c>
      <c r="P63" s="84">
        <v>2942.4</v>
      </c>
      <c r="Q63" s="60">
        <v>2138.6</v>
      </c>
      <c r="R63" s="85" cm="1">
        <f t="array" ref="R63">MMULT(A63:Q63, R45:R61)</f>
        <v>132108.99999999997</v>
      </c>
      <c r="S63" s="85" cm="1">
        <f t="array" ref="S63">MMULT(A63:Q63, S45:S61)</f>
        <v>1198696199.3800001</v>
      </c>
      <c r="V63" s="76">
        <v>-4.5164736510400549E-5</v>
      </c>
      <c r="W63" s="77">
        <v>5.8118714143382318E-9</v>
      </c>
      <c r="X63" s="72" cm="1">
        <f t="array" ref="X63">MMULT($V63:$W63,X$60:X$61)</f>
        <v>2.1851952768333607E-5</v>
      </c>
      <c r="Y63" s="73" cm="1">
        <f t="array" ref="Y63">MMULT($V63:$W63,Y$60:Y$61)</f>
        <v>2.6955938244405442E-5</v>
      </c>
      <c r="Z63" s="73" cm="1">
        <f t="array" ref="Z63">MMULT($V63:$W63,Z$60:Z$61)</f>
        <v>2.02228852108946E-5</v>
      </c>
      <c r="AA63" s="73" cm="1">
        <f t="array" ref="AA63">MMULT($V63:$W63,AA$60:AA$61)</f>
        <v>1.4789947812771217E-5</v>
      </c>
      <c r="AB63" s="73" cm="1">
        <f t="array" ref="AB63">MMULT($V63:$W63,AB$60:AB$61)</f>
        <v>1.6729369303735876E-5</v>
      </c>
      <c r="AC63" s="73" cm="1">
        <f t="array" ref="AC63">MMULT($V63:$W63,AC$60:AC$61)</f>
        <v>1.7033911365847208E-5</v>
      </c>
      <c r="AD63" s="73" cm="1">
        <f t="array" ref="AD63">MMULT($V63:$W63,AD$60:AD$61)</f>
        <v>1.0204962453999784E-5</v>
      </c>
      <c r="AE63" s="73" cm="1">
        <f t="array" ref="AE63">MMULT($V63:$W63,AE$60:AE$61)</f>
        <v>7.8290694198183188E-6</v>
      </c>
      <c r="AF63" s="73" cm="1">
        <f t="array" ref="AF63">MMULT($V63:$W63,AF$60:AF$61)</f>
        <v>-1.6948442668577468E-6</v>
      </c>
      <c r="AG63" s="73" cm="1">
        <f t="array" ref="AG63">MMULT($V63:$W63,AG$60:AG$61)</f>
        <v>-1.0508889141490742E-6</v>
      </c>
      <c r="AH63" s="73" cm="1">
        <f t="array" ref="AH63">MMULT($V63:$W63,AH$60:AH$61)</f>
        <v>-5.0151664058691853E-6</v>
      </c>
      <c r="AI63" s="73" cm="1">
        <f t="array" ref="AI63">MMULT($V63:$W63,AI$60:AI$61)</f>
        <v>-5.5376536460181825E-6</v>
      </c>
      <c r="AJ63" s="73" cm="1">
        <f t="array" ref="AJ63">MMULT($V63:$W63,AJ$60:AJ$61)</f>
        <v>-1.481688754615061E-5</v>
      </c>
      <c r="AK63" s="73" cm="1">
        <f t="array" ref="AK63">MMULT($V63:$W63,AK$60:AK$61)</f>
        <v>-2.0572383807769758E-5</v>
      </c>
      <c r="AL63" s="73" cm="1">
        <f t="array" ref="AL63">MMULT($V63:$W63,AL$60:AL$61)</f>
        <v>-2.6130857628442841E-5</v>
      </c>
      <c r="AM63" s="73" cm="1">
        <f t="array" ref="AM63">MMULT($V63:$W63,AM$60:AM$61)</f>
        <v>-2.8063886060851737E-5</v>
      </c>
      <c r="AN63" s="73" cm="1">
        <f t="array" ref="AN63">MMULT($V63:$W63,AN$60:AN$61)</f>
        <v>-3.273546830369681E-5</v>
      </c>
      <c r="AO63" s="87" cm="1">
        <f t="array" ref="AO63">MMULT(X63:AN63,AO45:AO61)</f>
        <v>-2.4960616742747908</v>
      </c>
    </row>
  </sheetData>
  <mergeCells count="20">
    <mergeCell ref="K28:O34"/>
    <mergeCell ref="Q31:T41"/>
    <mergeCell ref="AE4:AK10"/>
    <mergeCell ref="U24:W24"/>
    <mergeCell ref="K26:O26"/>
    <mergeCell ref="AA4:AB4"/>
    <mergeCell ref="E1:H5"/>
    <mergeCell ref="E9:F9"/>
    <mergeCell ref="E13:F13"/>
    <mergeCell ref="W1:AB2"/>
    <mergeCell ref="W3:Z3"/>
    <mergeCell ref="AA3:AB3"/>
    <mergeCell ref="W4:X4"/>
    <mergeCell ref="Y4:Z4"/>
    <mergeCell ref="R3:T11"/>
    <mergeCell ref="J37:J40"/>
    <mergeCell ref="A28:B28"/>
    <mergeCell ref="A26:C26"/>
    <mergeCell ref="G27:G28"/>
    <mergeCell ref="E20:J24"/>
  </mergeCells>
  <pageMargins left="0.7" right="0.7" top="0.75" bottom="0.75" header="0.3" footer="0.3"/>
  <pageSetup paperSize="9" scale="3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5</vt:i4>
      </vt:variant>
      <vt:variant>
        <vt:lpstr>Nazwane zakresy</vt:lpstr>
      </vt:variant>
      <vt:variant>
        <vt:i4>1</vt:i4>
      </vt:variant>
    </vt:vector>
  </HeadingPairs>
  <TitlesOfParts>
    <vt:vector size="6" baseType="lpstr">
      <vt:lpstr>Dane do korelacji</vt:lpstr>
      <vt:lpstr>Obliczenia</vt:lpstr>
      <vt:lpstr>Surowe dane</vt:lpstr>
      <vt:lpstr>Długość albumów</vt:lpstr>
      <vt:lpstr>Analogi vs kompakty</vt:lpstr>
      <vt:lpstr>'Długość albumów'!Obszar_wydruku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Andrzej Danieluk</dc:creator>
  <cp:lastModifiedBy>Użytkownik systemu Windows</cp:lastModifiedBy>
  <cp:lastPrinted>2024-05-28T19:23:18Z</cp:lastPrinted>
  <dcterms:created xsi:type="dcterms:W3CDTF">2024-05-27T22:12:18Z</dcterms:created>
  <dcterms:modified xsi:type="dcterms:W3CDTF">2024-06-10T11:09:10Z</dcterms:modified>
</cp:coreProperties>
</file>